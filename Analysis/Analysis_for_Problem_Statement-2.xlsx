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.S. Programme\BDM Project\My Project\Analysis\"/>
    </mc:Choice>
  </mc:AlternateContent>
  <xr:revisionPtr revIDLastSave="0" documentId="13_ncr:1_{500E689E-41A9-4C39-8C4A-106A68A50716}" xr6:coauthVersionLast="47" xr6:coauthVersionMax="47" xr10:uidLastSave="{00000000-0000-0000-0000-000000000000}"/>
  <bookViews>
    <workbookView xWindow="-108" yWindow="-108" windowWidth="23256" windowHeight="12456" firstSheet="2" activeTab="2" xr2:uid="{FDDC2B04-C070-48BA-B283-E8B237F19EDE}"/>
  </bookViews>
  <sheets>
    <sheet name="AV Items 202404-202503 Data" sheetId="1" r:id="rId1"/>
    <sheet name="AV Product Demand Type" sheetId="10" r:id="rId2"/>
    <sheet name="Pivot" sheetId="2" r:id="rId3"/>
    <sheet name="Rate_Variability_Analysis" sheetId="3" r:id="rId4"/>
    <sheet name="HI-TECH SYRINGE" sheetId="5" r:id="rId5"/>
    <sheet name="OXYGEN CONCENTRA" sheetId="9" r:id="rId6"/>
    <sheet name="EXAMINATION GLOV" sheetId="16" r:id="rId7"/>
    <sheet name="FLAM.WHEEL CHAIR" sheetId="4" r:id="rId8"/>
    <sheet name="Summary" sheetId="17" r:id="rId9"/>
  </sheets>
  <definedNames>
    <definedName name="_xlnm._FilterDatabase" localSheetId="0" hidden="1">'AV Items 202404-202503 Data'!$A$1:$E$697</definedName>
    <definedName name="_xlnm._FilterDatabase" localSheetId="3" hidden="1">Rate_Variability_Analysis!$A$1:$F$59</definedName>
    <definedName name="_xlcn.WorksheetConnection_Sheet1A1E697" hidden="1">'AV Items 202404-202503 Data'!$A$1:$E$697</definedName>
  </definedNames>
  <calcPr calcId="191029"/>
  <pivotCaches>
    <pivotCache cacheId="2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E$69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7" l="1"/>
  <c r="D5" i="17"/>
  <c r="D4" i="17"/>
  <c r="D2" i="17"/>
  <c r="C5" i="17"/>
  <c r="C4" i="17"/>
  <c r="C3" i="17"/>
  <c r="C2" i="17"/>
  <c r="B3" i="17"/>
  <c r="B5" i="17"/>
  <c r="B4" i="17"/>
  <c r="B2" i="17"/>
  <c r="F10" i="3"/>
  <c r="F11" i="3"/>
  <c r="F12" i="3"/>
  <c r="F13" i="3"/>
  <c r="F3" i="3"/>
  <c r="F8" i="3"/>
  <c r="F2" i="3"/>
  <c r="F14" i="3"/>
  <c r="F15" i="3"/>
  <c r="F16" i="3"/>
  <c r="F17" i="3"/>
  <c r="F18" i="3"/>
  <c r="F19" i="3"/>
  <c r="F6" i="3"/>
  <c r="F4" i="3"/>
  <c r="F5" i="3"/>
  <c r="F20" i="3"/>
  <c r="F21" i="3"/>
  <c r="F22" i="3"/>
  <c r="F23" i="3"/>
  <c r="F24" i="3"/>
  <c r="F25" i="3"/>
  <c r="F26" i="3"/>
  <c r="E3" i="17" s="1"/>
  <c r="F27" i="3"/>
  <c r="E5" i="17" s="1"/>
  <c r="F28" i="3"/>
  <c r="F29" i="3"/>
  <c r="F30" i="3"/>
  <c r="F31" i="3"/>
  <c r="E2" i="17" s="1"/>
  <c r="F32" i="3"/>
  <c r="F33" i="3"/>
  <c r="F34" i="3"/>
  <c r="F35" i="3"/>
  <c r="F36" i="3"/>
  <c r="F37" i="3"/>
  <c r="F38" i="3"/>
  <c r="F39" i="3"/>
  <c r="F40" i="3"/>
  <c r="E4" i="17" s="1"/>
  <c r="F41" i="3"/>
  <c r="F42" i="3"/>
  <c r="F43" i="3"/>
  <c r="F44" i="3"/>
  <c r="F45" i="3"/>
  <c r="F46" i="3"/>
  <c r="F47" i="3"/>
  <c r="F48" i="3"/>
  <c r="F49" i="3"/>
  <c r="F50" i="3"/>
  <c r="F7" i="3"/>
  <c r="F51" i="3"/>
  <c r="F52" i="3"/>
  <c r="F53" i="3"/>
  <c r="F54" i="3"/>
  <c r="F55" i="3"/>
  <c r="F56" i="3"/>
  <c r="F57" i="3"/>
  <c r="F58" i="3"/>
  <c r="F59" i="3"/>
  <c r="F9" i="3"/>
  <c r="G5" i="17" l="1"/>
  <c r="G3" i="17"/>
  <c r="G4" i="17"/>
  <c r="G2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B83D38-8086-47E9-801C-B9DCB3B77C6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5A1D13C-56DB-42BA-8117-74FD2823E7D0}" name="WorksheetConnection_Sheet1!$A$1:$E$69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E697"/>
        </x15:connection>
      </ext>
    </extLst>
  </connection>
</connections>
</file>

<file path=xl/sharedStrings.xml><?xml version="1.0" encoding="utf-8"?>
<sst xmlns="http://schemas.openxmlformats.org/spreadsheetml/2006/main" count="1727" uniqueCount="84">
  <si>
    <t>Month</t>
  </si>
  <si>
    <t>Product_Name</t>
  </si>
  <si>
    <t>Quantity</t>
  </si>
  <si>
    <t>Avg_Rate</t>
  </si>
  <si>
    <t>Amount</t>
  </si>
  <si>
    <t>RMS INFUSION SET</t>
  </si>
  <si>
    <t>SAFEWAY NEEDLE 2</t>
  </si>
  <si>
    <t>BIOS RL CP 500ML</t>
  </si>
  <si>
    <t>EXAMINATION GLOV</t>
  </si>
  <si>
    <t>SURGI.S.T GLOV.7</t>
  </si>
  <si>
    <t>RMS FOLEY TRAC F</t>
  </si>
  <si>
    <t>DRIP SET G-1</t>
  </si>
  <si>
    <t>CARE DISPO.SYR 3</t>
  </si>
  <si>
    <t>SPPL RL BFS 500</t>
  </si>
  <si>
    <t>HI-TECH SYRINGE</t>
  </si>
  <si>
    <t>CARE DISPO.SYR 5</t>
  </si>
  <si>
    <t>I.V.SET (IDEAL)</t>
  </si>
  <si>
    <t>BD EMERALD SYR 3</t>
  </si>
  <si>
    <t>ACCU CHEK ACTIVE</t>
  </si>
  <si>
    <t>DISPOVAN NEEDLE</t>
  </si>
  <si>
    <t>SURGI.S.T GLOV.6</t>
  </si>
  <si>
    <t>OMRON NEBULIZER</t>
  </si>
  <si>
    <t>BIPAP (T-20) DIA</t>
  </si>
  <si>
    <t>TERMIVA</t>
  </si>
  <si>
    <t>BPL NEBULIZER BR</t>
  </si>
  <si>
    <t>SAFEWAY SYR 3ML</t>
  </si>
  <si>
    <t>I.V.SET NATIONAL</t>
  </si>
  <si>
    <t>WHEEL CHAIR ANTR</t>
  </si>
  <si>
    <t>BD NEEDLE 24*1</t>
  </si>
  <si>
    <t>NEOMOL IV 100ML</t>
  </si>
  <si>
    <t>GLUCO CHEK STRIP</t>
  </si>
  <si>
    <t>BD SPINAL NEEDLE</t>
  </si>
  <si>
    <t>TYNOR WHEEL CHAI</t>
  </si>
  <si>
    <t>BD EMERALD SYR.5</t>
  </si>
  <si>
    <t>SB CANNULA 22G</t>
  </si>
  <si>
    <t>BIOS RL BFS 500M</t>
  </si>
  <si>
    <t>RMS BLOOD AD SET</t>
  </si>
  <si>
    <t>DISPOVAN SYR 5ML</t>
  </si>
  <si>
    <t>DISPOVAN SYR 1ML</t>
  </si>
  <si>
    <t>DISPOVAN SYR 3ML</t>
  </si>
  <si>
    <t>FLAM.WHEEL CHAIR</t>
  </si>
  <si>
    <t>RMS PEDIA DRIP-P</t>
  </si>
  <si>
    <t>INFI NEBULIZER C</t>
  </si>
  <si>
    <t>PRIME I.V.SET</t>
  </si>
  <si>
    <t>PRIME CANNULA 22</t>
  </si>
  <si>
    <t>WHEEL CHAIR WITH</t>
  </si>
  <si>
    <t>SAFEWAY SYR. 5ML</t>
  </si>
  <si>
    <t>SB CANNULA 24G</t>
  </si>
  <si>
    <t>GB DISPO.SYRINGS</t>
  </si>
  <si>
    <t>BD PEN NEEDLE 31</t>
  </si>
  <si>
    <t>CARE DISPO. SYR.</t>
  </si>
  <si>
    <t>POCT BP MONITOR</t>
  </si>
  <si>
    <t>LINETIC 300ML IV</t>
  </si>
  <si>
    <t>BD INSULIN SYR U</t>
  </si>
  <si>
    <t>ACCUSURE STRIP S</t>
  </si>
  <si>
    <t>I.V.SET HALMED</t>
  </si>
  <si>
    <t>OXYGEN CONCENTRA</t>
  </si>
  <si>
    <t>POP BANDAGE 15CM</t>
  </si>
  <si>
    <t>GB NEEDLE 24G</t>
  </si>
  <si>
    <t>DISPOVAN SYR 2ML</t>
  </si>
  <si>
    <t>BEURER HEARING A</t>
  </si>
  <si>
    <t>I.V.STAND</t>
  </si>
  <si>
    <t>ACCUSURE STRIP G</t>
  </si>
  <si>
    <t>Grand Total</t>
  </si>
  <si>
    <t>Average of Avg_Rate</t>
  </si>
  <si>
    <t>StdDev of Avg_Rate</t>
  </si>
  <si>
    <t>Product</t>
  </si>
  <si>
    <t>Mean_Rate</t>
  </si>
  <si>
    <t>StdDev _Rate</t>
  </si>
  <si>
    <t>CV_Rate</t>
  </si>
  <si>
    <t>Min of Avg_Rate</t>
  </si>
  <si>
    <t>Max of Avg_Rate</t>
  </si>
  <si>
    <t>Max_Rate</t>
  </si>
  <si>
    <t>Min_Rate</t>
  </si>
  <si>
    <t>Demand Type</t>
  </si>
  <si>
    <t>Regular</t>
  </si>
  <si>
    <t>Intermittent</t>
  </si>
  <si>
    <t>AV Product</t>
  </si>
  <si>
    <t>Recommended_Buy_Month</t>
  </si>
  <si>
    <t>Potential_Saving_%</t>
  </si>
  <si>
    <t>Feb-Mar</t>
  </si>
  <si>
    <t>Jan</t>
  </si>
  <si>
    <t>Mar</t>
  </si>
  <si>
    <t>Nov-Mar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</si>
</sst>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&quot;₹&quot;\ #,##0.00"/>
    <numFmt numFmtId="166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7" fontId="0" fillId="0" borderId="0" xfId="0" applyNumberFormat="1"/>
    <xf numFmtId="165" fontId="0" fillId="0" borderId="0" xfId="0" applyNumberFormat="1"/>
    <xf numFmtId="0" fontId="0" fillId="0" borderId="1" xfId="0" applyFill="1" applyBorder="1"/>
    <xf numFmtId="0" fontId="2" fillId="0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0" fillId="0" borderId="1" xfId="0" applyNumberFormat="1" applyBorder="1"/>
    <xf numFmtId="17" fontId="0" fillId="0" borderId="1" xfId="0" applyNumberFormat="1" applyBorder="1"/>
    <xf numFmtId="165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7" fontId="0" fillId="0" borderId="1" xfId="0" applyNumberFormat="1" applyBorder="1" applyAlignment="1">
      <alignment horizontal="right" vertical="center" wrapText="1"/>
    </xf>
    <xf numFmtId="1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Monthly Avg Rate Trend for "</a:t>
            </a: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HI-TECH SYRINGE"</a:t>
            </a: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36-4F8E-BC91-F9E36E6369FA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36-4F8E-BC91-F9E36E6369FA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36-4F8E-BC91-F9E36E6369FA}"/>
                </c:ext>
              </c:extLst>
            </c:dLbl>
            <c:dLbl>
              <c:idx val="1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36-4F8E-BC91-F9E36E6369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'HI-TECH SYRINGE'!$B$2:$B$13</c:f>
              <c:numCache>
                <c:formatCode>mmm\-yy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'HI-TECH SYRINGE'!$E$2:$E$13</c:f>
              <c:numCache>
                <c:formatCode>"₹"\ #,##0.00</c:formatCode>
                <c:ptCount val="12"/>
                <c:pt idx="0">
                  <c:v>106.48269281045749</c:v>
                </c:pt>
                <c:pt idx="1">
                  <c:v>108.5369590643275</c:v>
                </c:pt>
                <c:pt idx="2">
                  <c:v>254.47666666666669</c:v>
                </c:pt>
                <c:pt idx="3">
                  <c:v>107.14801767676769</c:v>
                </c:pt>
                <c:pt idx="4">
                  <c:v>107.14801767676769</c:v>
                </c:pt>
                <c:pt idx="5">
                  <c:v>107.14801767676769</c:v>
                </c:pt>
                <c:pt idx="6">
                  <c:v>103.5763939393939</c:v>
                </c:pt>
                <c:pt idx="7">
                  <c:v>103.5763939393939</c:v>
                </c:pt>
                <c:pt idx="8">
                  <c:v>131.60782805429861</c:v>
                </c:pt>
                <c:pt idx="9">
                  <c:v>112.57715178571431</c:v>
                </c:pt>
                <c:pt idx="10">
                  <c:v>254.47649999999999</c:v>
                </c:pt>
                <c:pt idx="11">
                  <c:v>100.8976923076923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36-4F8E-BC91-F9E36E636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1494479"/>
        <c:axId val="1661494959"/>
      </c:lineChart>
      <c:dateAx>
        <c:axId val="16614944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494959"/>
        <c:crosses val="autoZero"/>
        <c:auto val="1"/>
        <c:lblOffset val="100"/>
        <c:baseTimeUnit val="months"/>
      </c:dateAx>
      <c:valAx>
        <c:axId val="166149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49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Monthly Avg Rate Trend for "</a:t>
            </a:r>
            <a:r>
              <a:rPr lang="en-IN" sz="1400" b="0" i="0" u="none" strike="noStrike" baseline="0">
                <a:effectLst/>
              </a:rPr>
              <a:t>OXYGEN CONCENTRA</a:t>
            </a:r>
            <a:r>
              <a:rPr lang="en-IN" sz="1400" b="0" i="0" u="none" strike="noStrike" baseline="0"/>
              <a:t> </a:t>
            </a: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"</a:t>
            </a: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'OXYGEN CONCENTRA'!$E$1</c:f>
              <c:strCache>
                <c:ptCount val="1"/>
                <c:pt idx="0">
                  <c:v>Avg_Rate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07F-42BC-BBC9-038097F55060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7F-42BC-BBC9-038097F55060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07F-42BC-BBC9-038097F55060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07F-42BC-BBC9-038097F550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'OXYGEN CONCENTRA'!$B$2:$B$13</c:f>
              <c:numCache>
                <c:formatCode>mmm\-yy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'OXYGEN CONCENTRA'!$E$2:$E$13</c:f>
              <c:numCache>
                <c:formatCode>"₹"\ #,##0.00</c:formatCode>
                <c:ptCount val="12"/>
                <c:pt idx="0">
                  <c:v>33928.57</c:v>
                </c:pt>
                <c:pt idx="1">
                  <c:v>33928.57</c:v>
                </c:pt>
                <c:pt idx="2">
                  <c:v>33928.57</c:v>
                </c:pt>
                <c:pt idx="3">
                  <c:v>26785.71</c:v>
                </c:pt>
                <c:pt idx="4">
                  <c:v>26785.71</c:v>
                </c:pt>
                <c:pt idx="5">
                  <c:v>26785.71</c:v>
                </c:pt>
                <c:pt idx="6">
                  <c:v>26339.285</c:v>
                </c:pt>
                <c:pt idx="7">
                  <c:v>26339.285</c:v>
                </c:pt>
                <c:pt idx="8">
                  <c:v>26339.285</c:v>
                </c:pt>
                <c:pt idx="9">
                  <c:v>26339.285</c:v>
                </c:pt>
                <c:pt idx="10">
                  <c:v>23215</c:v>
                </c:pt>
                <c:pt idx="11">
                  <c:v>23215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7F-42BC-BBC9-038097F55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1510159"/>
        <c:axId val="1941504399"/>
      </c:lineChart>
      <c:dateAx>
        <c:axId val="194151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504399"/>
        <c:crosses val="autoZero"/>
        <c:auto val="1"/>
        <c:lblOffset val="100"/>
        <c:baseTimeUnit val="months"/>
      </c:dateAx>
      <c:valAx>
        <c:axId val="194150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51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Monthly Avg Rate Trend for "</a:t>
            </a:r>
            <a:r>
              <a:rPr lang="en-IN" sz="1400" b="0" i="0" u="none" strike="noStrike" baseline="0">
                <a:effectLst/>
              </a:rPr>
              <a:t>EXAMINATION GLOV</a:t>
            </a:r>
            <a:r>
              <a:rPr lang="en-IN" sz="1400" b="0" i="0" u="none" strike="noStrike" baseline="0"/>
              <a:t> </a:t>
            </a: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"</a:t>
            </a: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'EXAMINATION GLOV'!$E$1</c:f>
              <c:strCache>
                <c:ptCount val="1"/>
                <c:pt idx="0">
                  <c:v>Avg_Rate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66D-4185-BD9B-02EB60247F77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66D-4185-BD9B-02EB60247F77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66D-4185-BD9B-02EB60247F77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66D-4185-BD9B-02EB60247F7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66D-4185-BD9B-02EB60247F7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66D-4185-BD9B-02EB60247F77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6D-4185-BD9B-02EB60247F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'EXAMINATION GLOV'!$B$2:$B$13</c:f>
              <c:numCache>
                <c:formatCode>mmm\-yy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'EXAMINATION GLOV'!$E$2:$E$13</c:f>
              <c:numCache>
                <c:formatCode>"₹"\ #,##0.00</c:formatCode>
                <c:ptCount val="12"/>
                <c:pt idx="0">
                  <c:v>112.8181818181818</c:v>
                </c:pt>
                <c:pt idx="1">
                  <c:v>125.45955833333331</c:v>
                </c:pt>
                <c:pt idx="2">
                  <c:v>135.14814814814821</c:v>
                </c:pt>
                <c:pt idx="3">
                  <c:v>135.14814814814821</c:v>
                </c:pt>
                <c:pt idx="4">
                  <c:v>135.14814814814821</c:v>
                </c:pt>
                <c:pt idx="5">
                  <c:v>89.41463414634147</c:v>
                </c:pt>
                <c:pt idx="6">
                  <c:v>89.41463414634147</c:v>
                </c:pt>
                <c:pt idx="7">
                  <c:v>86</c:v>
                </c:pt>
                <c:pt idx="8">
                  <c:v>86</c:v>
                </c:pt>
                <c:pt idx="9">
                  <c:v>84</c:v>
                </c:pt>
                <c:pt idx="10">
                  <c:v>113.4336283185841</c:v>
                </c:pt>
                <c:pt idx="11">
                  <c:v>113.4336283185841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6D-4185-BD9B-02EB60247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5761119"/>
        <c:axId val="1945759679"/>
      </c:lineChart>
      <c:dateAx>
        <c:axId val="194576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759679"/>
        <c:crosses val="autoZero"/>
        <c:auto val="1"/>
        <c:lblOffset val="100"/>
        <c:baseTimeUnit val="months"/>
      </c:dateAx>
      <c:valAx>
        <c:axId val="194575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76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Monthly Avg Rate Trend for "</a:t>
            </a:r>
            <a:r>
              <a:rPr lang="en-IN" sz="1400" b="0" i="0" u="none" strike="noStrike" baseline="0">
                <a:effectLst/>
              </a:rPr>
              <a:t>BD SPINAL NEEDLE</a:t>
            </a:r>
            <a:r>
              <a:rPr lang="en-IN" sz="1400" b="0" i="0" u="none" strike="noStrike" baseline="0"/>
              <a:t> </a:t>
            </a: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"</a:t>
            </a: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'FLAM.WHEEL CHAIR'!$E$1</c:f>
              <c:strCache>
                <c:ptCount val="1"/>
                <c:pt idx="0">
                  <c:v>Avg_Rate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E5-4D8A-B2EB-7C8759821DC3}"/>
                </c:ext>
              </c:extLst>
            </c:dLbl>
            <c:dLbl>
              <c:idx val="6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E5-4D8A-B2EB-7C8759821DC3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E5-4D8A-B2EB-7C8759821DC3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E5-4D8A-B2EB-7C8759821D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'FLAM.WHEEL CHAIR'!$B$2:$B$13</c:f>
              <c:numCache>
                <c:formatCode>mmm\-yy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'FLAM.WHEEL CHAIR'!$E$2:$E$13</c:f>
              <c:numCache>
                <c:formatCode>"₹"\ #,##0.00</c:formatCode>
                <c:ptCount val="12"/>
                <c:pt idx="0">
                  <c:v>4812.7</c:v>
                </c:pt>
                <c:pt idx="1">
                  <c:v>4812.7</c:v>
                </c:pt>
                <c:pt idx="2">
                  <c:v>4812.7</c:v>
                </c:pt>
                <c:pt idx="3">
                  <c:v>4812.7</c:v>
                </c:pt>
                <c:pt idx="4">
                  <c:v>4455</c:v>
                </c:pt>
                <c:pt idx="5">
                  <c:v>4455</c:v>
                </c:pt>
                <c:pt idx="6">
                  <c:v>4455</c:v>
                </c:pt>
                <c:pt idx="7">
                  <c:v>3700</c:v>
                </c:pt>
                <c:pt idx="8">
                  <c:v>3700</c:v>
                </c:pt>
                <c:pt idx="9">
                  <c:v>3700</c:v>
                </c:pt>
                <c:pt idx="10">
                  <c:v>3700</c:v>
                </c:pt>
                <c:pt idx="11">
                  <c:v>3700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E5-4D8A-B2EB-7C8759821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841023"/>
        <c:axId val="1960841503"/>
      </c:lineChart>
      <c:dateAx>
        <c:axId val="196084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841503"/>
        <c:crosses val="autoZero"/>
        <c:auto val="1"/>
        <c:lblOffset val="100"/>
        <c:baseTimeUnit val="months"/>
      </c:dateAx>
      <c:valAx>
        <c:axId val="196084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84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0</xdr:row>
      <xdr:rowOff>30480</xdr:rowOff>
    </xdr:from>
    <xdr:to>
      <xdr:col>12</xdr:col>
      <xdr:colOff>594360</xdr:colOff>
      <xdr:row>15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D5B111-C7F8-6AA6-40A8-3BEC9CF46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1</xdr:row>
      <xdr:rowOff>22860</xdr:rowOff>
    </xdr:from>
    <xdr:to>
      <xdr:col>13</xdr:col>
      <xdr:colOff>502920</xdr:colOff>
      <xdr:row>16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1D468-FC51-09C7-F120-BE08B43BE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</xdr:colOff>
      <xdr:row>0</xdr:row>
      <xdr:rowOff>175260</xdr:rowOff>
    </xdr:from>
    <xdr:to>
      <xdr:col>13</xdr:col>
      <xdr:colOff>373380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C28561-F7FD-48EC-EA0C-5A038FBED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220980</xdr:colOff>
      <xdr:row>0</xdr:row>
      <xdr:rowOff>76200</xdr:rowOff>
    </xdr:from>
    <xdr:to>
      <xdr:col>13</xdr:col>
      <xdr:colOff>419100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1E9F21-7991-23B0-7587-A549ECBFC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njal Dubey" refreshedDate="45962.197451041669" backgroundQuery="1" createdVersion="8" refreshedVersion="8" minRefreshableVersion="3" recordCount="0" supportSubquery="1" supportAdvancedDrill="1" xr:uid="{E0A2E734-643A-4F1C-9AF0-318C293E9E6B}">
  <cacheSource type="external" connectionId="1"/>
  <cacheFields count="5">
    <cacheField name="[Range].[Product_Name].[Product_Name]" caption="Product_Name" numFmtId="0" hierarchy="1" level="1">
      <sharedItems count="58">
        <s v="ACCU CHEK ACTIVE"/>
        <s v="ACCUSURE STRIP G"/>
        <s v="ACCUSURE STRIP S"/>
        <s v="BD EMERALD SYR 3"/>
        <s v="BD EMERALD SYR.5"/>
        <s v="BD INSULIN SYR U"/>
        <s v="BD NEEDLE 24*1"/>
        <s v="BD PEN NEEDLE 31"/>
        <s v="BD SPINAL NEEDLE"/>
        <s v="BEURER HEARING A"/>
        <s v="BIOS RL BFS 500M"/>
        <s v="BIOS RL CP 500ML"/>
        <s v="BIPAP (T-20) DIA"/>
        <s v="BPL NEBULIZER BR"/>
        <s v="CARE DISPO. SYR."/>
        <s v="CARE DISPO.SYR 3"/>
        <s v="CARE DISPO.SYR 5"/>
        <s v="DISPOVAN NEEDLE"/>
        <s v="DISPOVAN SYR 1ML"/>
        <s v="DISPOVAN SYR 2ML"/>
        <s v="DISPOVAN SYR 3ML"/>
        <s v="DISPOVAN SYR 5ML"/>
        <s v="DRIP SET G-1"/>
        <s v="EXAMINATION GLOV"/>
        <s v="FLAM.WHEEL CHAIR"/>
        <s v="GB DISPO.SYRINGS"/>
        <s v="GB NEEDLE 24G"/>
        <s v="GLUCO CHEK STRIP"/>
        <s v="HI-TECH SYRINGE"/>
        <s v="I.V.SET (IDEAL)"/>
        <s v="I.V.SET HALMED"/>
        <s v="I.V.SET NATIONAL"/>
        <s v="I.V.STAND"/>
        <s v="INFI NEBULIZER C"/>
        <s v="LINETIC 300ML IV"/>
        <s v="NEOMOL IV 100ML"/>
        <s v="OMRON NEBULIZER"/>
        <s v="OXYGEN CONCENTRA"/>
        <s v="POCT BP MONITOR"/>
        <s v="POP BANDAGE 15CM"/>
        <s v="PRIME CANNULA 22"/>
        <s v="PRIME I.V.SET"/>
        <s v="RMS BLOOD AD SET"/>
        <s v="RMS FOLEY TRAC F"/>
        <s v="RMS INFUSION SET"/>
        <s v="RMS PEDIA DRIP-P"/>
        <s v="SAFEWAY NEEDLE 2"/>
        <s v="SAFEWAY SYR 3ML"/>
        <s v="SAFEWAY SYR. 5ML"/>
        <s v="SB CANNULA 22G"/>
        <s v="SB CANNULA 24G"/>
        <s v="SPPL RL BFS 500"/>
        <s v="SURGI.S.T GLOV.6"/>
        <s v="SURGI.S.T GLOV.7"/>
        <s v="TERMIVA"/>
        <s v="TYNOR WHEEL CHAI"/>
        <s v="WHEEL CHAIR ANTR"/>
        <s v="WHEEL CHAIR WITH"/>
      </sharedItems>
    </cacheField>
    <cacheField name="[Measures].[Average of Avg_Rate]" caption="Average of Avg_Rate" numFmtId="0" hierarchy="8" level="32767"/>
    <cacheField name="[Measures].[StdDev of Avg_Rate]" caption="StdDev of Avg_Rate" numFmtId="0" hierarchy="9" level="32767"/>
    <cacheField name="[Measures].[Max of Avg_Rate]" caption="Max of Avg_Rate" numFmtId="0" hierarchy="11" level="32767"/>
    <cacheField name="[Measures].[Min of Avg_Rate]" caption="Min of Avg_Rate" numFmtId="0" hierarchy="10" level="32767"/>
  </cacheFields>
  <cacheHierarchies count="12">
    <cacheHierarchy uniqueName="[Range].[Month]" caption="Month" attribute="1" time="1" defaultMemberUniqueName="[Range].[Month].[All]" allUniqueName="[Range].[Month].[All]" dimensionUniqueName="[Range]" displayFolder="" count="0" memberValueDatatype="7" unbalanced="0"/>
    <cacheHierarchy uniqueName="[Range].[Product_Name]" caption="Product_Name" attribute="1" defaultMemberUniqueName="[Range].[Product_Name].[All]" allUniqueName="[Range].[Product_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Avg_Rate]" caption="Avg_Rate" attribute="1" defaultMemberUniqueName="[Range].[Avg_Rate].[All]" allUniqueName="[Range].[Avg_Rate].[All]" dimensionUniqueName="[Range]" displayFolder="" count="0" memberValueDatatype="5" unbalanced="0"/>
    <cacheHierarchy uniqueName="[Range].[Amount]" caption="Amount" attribute="1" defaultMemberUniqueName="[Range].[Amount].[All]" allUniqueName="[Range].[Amoun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vg_Rate]" caption="Sum of Avg_Rat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vg_Rate]" caption="Average of Avg_Rat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tdDev of Avg_Rate]" caption="StdDev of Avg_Rat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Avg_Rate]" caption="Min of Avg_Rate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Avg_Rate]" caption="Max of Avg_Rat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89458-1FEB-41E3-A1C2-D6DC8489FF1B}" name="PivotTable2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_Name">
  <location ref="A3:E62" firstHeaderRow="0" firstDataRow="1" firstDataCol="1"/>
  <pivotFields count="5">
    <pivotField axis="axisRow" allDrilled="1" subtotalTop="0" showAll="0" dataSourceSort="1" defaultSubtotal="0" defaultAttributeDrillState="1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vg_Rate" fld="1" subtotal="average" baseField="0" baseItem="0"/>
    <dataField name="StdDev of Avg_Rate" fld="2" subtotal="stdDev" baseField="0" baseItem="0"/>
    <dataField name="Max of Avg_Rate" fld="3" subtotal="max" baseField="0" baseItem="10"/>
    <dataField name="Min of Avg_Rate" fld="4" subtotal="min" baseField="0" baseItem="10"/>
  </dataFields>
  <pivotHierarchies count="12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Avg_Rate"/>
    <pivotHierarchy dragToData="1" caption="StdDev of Avg_Rate"/>
    <pivotHierarchy dragToData="1" caption="Min of Avg_Rate"/>
    <pivotHierarchy dragToData="1" caption="Max of Avg_Rate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E$69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14A2-143B-4BD0-AB5A-0395EBBBE449}">
  <dimension ref="A1:F697"/>
  <sheetViews>
    <sheetView workbookViewId="0">
      <selection activeCell="H12" sqref="H12"/>
    </sheetView>
  </sheetViews>
  <sheetFormatPr defaultRowHeight="14.4" x14ac:dyDescent="0.3"/>
  <cols>
    <col min="1" max="1" width="18" bestFit="1" customWidth="1"/>
    <col min="2" max="2" width="19.109375" bestFit="1" customWidth="1"/>
    <col min="4" max="4" width="10.44140625" bestFit="1" customWidth="1"/>
    <col min="5" max="5" width="12.33203125" bestFit="1" customWidth="1"/>
    <col min="6" max="6" width="12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74</v>
      </c>
    </row>
    <row r="2" spans="1:6" x14ac:dyDescent="0.3">
      <c r="A2" s="2">
        <v>45383</v>
      </c>
      <c r="B2" t="s">
        <v>5</v>
      </c>
      <c r="C2">
        <v>75000</v>
      </c>
      <c r="D2" s="10">
        <v>9.4134399999999996</v>
      </c>
      <c r="E2" s="10">
        <v>706008</v>
      </c>
      <c r="F2" t="s">
        <v>75</v>
      </c>
    </row>
    <row r="3" spans="1:6" x14ac:dyDescent="0.3">
      <c r="A3" s="2">
        <v>45413</v>
      </c>
      <c r="B3" t="s">
        <v>5</v>
      </c>
      <c r="C3">
        <v>40000</v>
      </c>
      <c r="D3" s="10">
        <v>9.4559999999999995</v>
      </c>
      <c r="E3" s="10">
        <v>378240</v>
      </c>
      <c r="F3" t="s">
        <v>75</v>
      </c>
    </row>
    <row r="4" spans="1:6" x14ac:dyDescent="0.3">
      <c r="A4" s="2">
        <v>45444</v>
      </c>
      <c r="B4" t="s">
        <v>5</v>
      </c>
      <c r="C4">
        <v>45000</v>
      </c>
      <c r="D4" s="10">
        <v>9.3205333333333336</v>
      </c>
      <c r="E4" s="10">
        <v>419424</v>
      </c>
      <c r="F4" t="s">
        <v>75</v>
      </c>
    </row>
    <row r="5" spans="1:6" x14ac:dyDescent="0.3">
      <c r="A5" s="2">
        <v>45474</v>
      </c>
      <c r="B5" t="s">
        <v>5</v>
      </c>
      <c r="C5">
        <v>35000</v>
      </c>
      <c r="D5" s="10">
        <v>9.1642485714285726</v>
      </c>
      <c r="E5" s="10">
        <v>320748.70000000013</v>
      </c>
      <c r="F5" t="s">
        <v>75</v>
      </c>
    </row>
    <row r="6" spans="1:6" x14ac:dyDescent="0.3">
      <c r="A6" s="2">
        <v>45505</v>
      </c>
      <c r="B6" t="s">
        <v>5</v>
      </c>
      <c r="C6">
        <v>0</v>
      </c>
      <c r="D6" s="10">
        <v>9.1642485714285726</v>
      </c>
      <c r="E6" s="10">
        <v>0</v>
      </c>
      <c r="F6" t="s">
        <v>75</v>
      </c>
    </row>
    <row r="7" spans="1:6" x14ac:dyDescent="0.3">
      <c r="A7" s="2">
        <v>45536</v>
      </c>
      <c r="B7" t="s">
        <v>5</v>
      </c>
      <c r="C7">
        <v>0</v>
      </c>
      <c r="D7" s="10">
        <v>9.1642485714285726</v>
      </c>
      <c r="E7" s="10">
        <v>0</v>
      </c>
      <c r="F7" t="s">
        <v>75</v>
      </c>
    </row>
    <row r="8" spans="1:6" x14ac:dyDescent="0.3">
      <c r="A8" s="2">
        <v>45566</v>
      </c>
      <c r="B8" t="s">
        <v>5</v>
      </c>
      <c r="C8">
        <v>0</v>
      </c>
      <c r="D8" s="10">
        <v>9.1642485714285726</v>
      </c>
      <c r="E8" s="10">
        <v>0</v>
      </c>
      <c r="F8" t="s">
        <v>75</v>
      </c>
    </row>
    <row r="9" spans="1:6" x14ac:dyDescent="0.3">
      <c r="A9" s="2">
        <v>45597</v>
      </c>
      <c r="B9" t="s">
        <v>5</v>
      </c>
      <c r="C9">
        <v>10000</v>
      </c>
      <c r="D9" s="10">
        <v>9.1968700000000005</v>
      </c>
      <c r="E9" s="10">
        <v>91968.700000000012</v>
      </c>
      <c r="F9" t="s">
        <v>75</v>
      </c>
    </row>
    <row r="10" spans="1:6" x14ac:dyDescent="0.3">
      <c r="A10" s="2">
        <v>45627</v>
      </c>
      <c r="B10" t="s">
        <v>5</v>
      </c>
      <c r="C10">
        <v>20000</v>
      </c>
      <c r="D10" s="10">
        <v>9.1968700000000005</v>
      </c>
      <c r="E10" s="10">
        <v>183937.4</v>
      </c>
      <c r="F10" t="s">
        <v>75</v>
      </c>
    </row>
    <row r="11" spans="1:6" x14ac:dyDescent="0.3">
      <c r="A11" s="2">
        <v>45658</v>
      </c>
      <c r="B11" t="s">
        <v>5</v>
      </c>
      <c r="C11">
        <v>5000</v>
      </c>
      <c r="D11" s="10">
        <v>9.1968700000000005</v>
      </c>
      <c r="E11" s="10">
        <v>45984.350000000013</v>
      </c>
      <c r="F11" t="s">
        <v>75</v>
      </c>
    </row>
    <row r="12" spans="1:6" x14ac:dyDescent="0.3">
      <c r="A12" s="2">
        <v>45689</v>
      </c>
      <c r="B12" t="s">
        <v>5</v>
      </c>
      <c r="C12">
        <v>11500</v>
      </c>
      <c r="D12" s="10">
        <v>9.4751043478260861</v>
      </c>
      <c r="E12" s="10">
        <v>108963.7</v>
      </c>
      <c r="F12" t="s">
        <v>75</v>
      </c>
    </row>
    <row r="13" spans="1:6" x14ac:dyDescent="0.3">
      <c r="A13" s="2">
        <v>45717</v>
      </c>
      <c r="B13" t="s">
        <v>5</v>
      </c>
      <c r="C13">
        <v>15000</v>
      </c>
      <c r="D13" s="10">
        <v>9.1968699999999988</v>
      </c>
      <c r="E13" s="10">
        <v>137953.04999999999</v>
      </c>
      <c r="F13" t="s">
        <v>75</v>
      </c>
    </row>
    <row r="14" spans="1:6" x14ac:dyDescent="0.3">
      <c r="A14" s="2">
        <v>45383</v>
      </c>
      <c r="B14" t="s">
        <v>6</v>
      </c>
      <c r="C14">
        <v>8400</v>
      </c>
      <c r="D14" s="10">
        <v>42.429285714285712</v>
      </c>
      <c r="E14" s="10">
        <v>356406</v>
      </c>
      <c r="F14" t="s">
        <v>76</v>
      </c>
    </row>
    <row r="15" spans="1:6" x14ac:dyDescent="0.3">
      <c r="A15" s="2">
        <v>45413</v>
      </c>
      <c r="B15" t="s">
        <v>6</v>
      </c>
      <c r="C15">
        <v>1800</v>
      </c>
      <c r="D15" s="10">
        <v>42.975000000000001</v>
      </c>
      <c r="E15" s="10">
        <v>77355</v>
      </c>
      <c r="F15" t="s">
        <v>76</v>
      </c>
    </row>
    <row r="16" spans="1:6" x14ac:dyDescent="0.3">
      <c r="A16" s="2">
        <v>45444</v>
      </c>
      <c r="B16" t="s">
        <v>6</v>
      </c>
      <c r="C16">
        <v>0</v>
      </c>
      <c r="D16" s="10">
        <v>42.975000000000001</v>
      </c>
      <c r="E16" s="10">
        <v>0</v>
      </c>
      <c r="F16" t="s">
        <v>76</v>
      </c>
    </row>
    <row r="17" spans="1:6" x14ac:dyDescent="0.3">
      <c r="A17" s="2">
        <v>45474</v>
      </c>
      <c r="B17" t="s">
        <v>6</v>
      </c>
      <c r="C17">
        <v>0</v>
      </c>
      <c r="D17" s="10">
        <v>42.975000000000001</v>
      </c>
      <c r="E17" s="10">
        <v>0</v>
      </c>
      <c r="F17" t="s">
        <v>76</v>
      </c>
    </row>
    <row r="18" spans="1:6" x14ac:dyDescent="0.3">
      <c r="A18" s="2">
        <v>45505</v>
      </c>
      <c r="B18" t="s">
        <v>6</v>
      </c>
      <c r="C18">
        <v>6000</v>
      </c>
      <c r="D18" s="10">
        <v>44</v>
      </c>
      <c r="E18" s="10">
        <v>264000</v>
      </c>
      <c r="F18" t="s">
        <v>76</v>
      </c>
    </row>
    <row r="19" spans="1:6" x14ac:dyDescent="0.3">
      <c r="A19" s="2">
        <v>45536</v>
      </c>
      <c r="B19" t="s">
        <v>6</v>
      </c>
      <c r="C19">
        <v>0</v>
      </c>
      <c r="D19" s="10">
        <v>44</v>
      </c>
      <c r="E19" s="10">
        <v>0</v>
      </c>
      <c r="F19" t="s">
        <v>76</v>
      </c>
    </row>
    <row r="20" spans="1:6" x14ac:dyDescent="0.3">
      <c r="A20" s="2">
        <v>45566</v>
      </c>
      <c r="B20" t="s">
        <v>6</v>
      </c>
      <c r="C20">
        <v>13800</v>
      </c>
      <c r="D20" s="10">
        <v>42.518260869565218</v>
      </c>
      <c r="E20" s="10">
        <v>586752</v>
      </c>
      <c r="F20" t="s">
        <v>76</v>
      </c>
    </row>
    <row r="21" spans="1:6" x14ac:dyDescent="0.3">
      <c r="A21" s="2">
        <v>45597</v>
      </c>
      <c r="B21" t="s">
        <v>6</v>
      </c>
      <c r="C21">
        <v>8100</v>
      </c>
      <c r="D21" s="10">
        <v>42.175370370370374</v>
      </c>
      <c r="E21" s="10">
        <v>341620.5</v>
      </c>
      <c r="F21" t="s">
        <v>76</v>
      </c>
    </row>
    <row r="22" spans="1:6" x14ac:dyDescent="0.3">
      <c r="A22" s="2">
        <v>45627</v>
      </c>
      <c r="B22" t="s">
        <v>6</v>
      </c>
      <c r="C22">
        <v>0</v>
      </c>
      <c r="D22" s="10">
        <v>42.175370370370374</v>
      </c>
      <c r="E22" s="10">
        <v>0</v>
      </c>
      <c r="F22" t="s">
        <v>76</v>
      </c>
    </row>
    <row r="23" spans="1:6" x14ac:dyDescent="0.3">
      <c r="A23" s="2">
        <v>45658</v>
      </c>
      <c r="B23" t="s">
        <v>6</v>
      </c>
      <c r="C23">
        <v>0</v>
      </c>
      <c r="D23" s="10">
        <v>42.175370370370374</v>
      </c>
      <c r="E23" s="10">
        <v>0</v>
      </c>
      <c r="F23" t="s">
        <v>76</v>
      </c>
    </row>
    <row r="24" spans="1:6" x14ac:dyDescent="0.3">
      <c r="A24" s="2">
        <v>45689</v>
      </c>
      <c r="B24" t="s">
        <v>6</v>
      </c>
      <c r="C24">
        <v>7440</v>
      </c>
      <c r="D24" s="10">
        <v>42.723145161290333</v>
      </c>
      <c r="E24" s="10">
        <v>317860.2</v>
      </c>
      <c r="F24" t="s">
        <v>76</v>
      </c>
    </row>
    <row r="25" spans="1:6" x14ac:dyDescent="0.3">
      <c r="A25" s="2">
        <v>45717</v>
      </c>
      <c r="B25" t="s">
        <v>6</v>
      </c>
      <c r="C25">
        <v>3960</v>
      </c>
      <c r="D25" s="10">
        <v>41.58</v>
      </c>
      <c r="E25" s="10">
        <v>164656.79999999999</v>
      </c>
      <c r="F25" t="s">
        <v>76</v>
      </c>
    </row>
    <row r="26" spans="1:6" x14ac:dyDescent="0.3">
      <c r="A26" s="2">
        <v>45383</v>
      </c>
      <c r="B26" t="s">
        <v>7</v>
      </c>
      <c r="C26">
        <v>24816</v>
      </c>
      <c r="D26" s="10">
        <v>12.460693504190839</v>
      </c>
      <c r="E26" s="10">
        <v>309224.57</v>
      </c>
      <c r="F26" t="s">
        <v>76</v>
      </c>
    </row>
    <row r="27" spans="1:6" x14ac:dyDescent="0.3">
      <c r="A27" s="2">
        <v>45413</v>
      </c>
      <c r="B27" t="s">
        <v>7</v>
      </c>
      <c r="C27">
        <v>47208</v>
      </c>
      <c r="D27" s="10">
        <v>12.460951109981361</v>
      </c>
      <c r="E27" s="10">
        <v>588256.57999999996</v>
      </c>
      <c r="F27" t="s">
        <v>76</v>
      </c>
    </row>
    <row r="28" spans="1:6" x14ac:dyDescent="0.3">
      <c r="A28" s="2">
        <v>45444</v>
      </c>
      <c r="B28" t="s">
        <v>7</v>
      </c>
      <c r="C28">
        <v>41520</v>
      </c>
      <c r="D28" s="10">
        <v>12.636472061657029</v>
      </c>
      <c r="E28" s="10">
        <v>524666.31999999995</v>
      </c>
      <c r="F28" t="s">
        <v>76</v>
      </c>
    </row>
    <row r="29" spans="1:6" x14ac:dyDescent="0.3">
      <c r="A29" s="2">
        <v>45474</v>
      </c>
      <c r="B29" t="s">
        <v>7</v>
      </c>
      <c r="C29">
        <v>14592</v>
      </c>
      <c r="D29" s="10">
        <v>12.722225877192979</v>
      </c>
      <c r="E29" s="10">
        <v>185642.72</v>
      </c>
      <c r="F29" t="s">
        <v>76</v>
      </c>
    </row>
    <row r="30" spans="1:6" x14ac:dyDescent="0.3">
      <c r="A30" s="2">
        <v>45505</v>
      </c>
      <c r="B30" t="s">
        <v>7</v>
      </c>
      <c r="C30">
        <v>0</v>
      </c>
      <c r="D30" s="10">
        <v>12.722225877192979</v>
      </c>
      <c r="E30" s="10">
        <v>0</v>
      </c>
      <c r="F30" t="s">
        <v>76</v>
      </c>
    </row>
    <row r="31" spans="1:6" x14ac:dyDescent="0.3">
      <c r="A31" s="2">
        <v>45536</v>
      </c>
      <c r="B31" t="s">
        <v>7</v>
      </c>
      <c r="C31">
        <v>0</v>
      </c>
      <c r="D31" s="10">
        <v>12.722225877192979</v>
      </c>
      <c r="E31" s="10">
        <v>0</v>
      </c>
      <c r="F31" t="s">
        <v>76</v>
      </c>
    </row>
    <row r="32" spans="1:6" x14ac:dyDescent="0.3">
      <c r="A32" s="2">
        <v>45566</v>
      </c>
      <c r="B32" t="s">
        <v>7</v>
      </c>
      <c r="C32">
        <v>0</v>
      </c>
      <c r="D32" s="10">
        <v>12.722225877192979</v>
      </c>
      <c r="E32" s="10">
        <v>0</v>
      </c>
      <c r="F32" t="s">
        <v>76</v>
      </c>
    </row>
    <row r="33" spans="1:6" x14ac:dyDescent="0.3">
      <c r="A33" s="2">
        <v>45597</v>
      </c>
      <c r="B33" t="s">
        <v>7</v>
      </c>
      <c r="C33">
        <v>0</v>
      </c>
      <c r="D33" s="10">
        <v>12.722225877192979</v>
      </c>
      <c r="E33" s="10">
        <v>0</v>
      </c>
      <c r="F33" t="s">
        <v>76</v>
      </c>
    </row>
    <row r="34" spans="1:6" x14ac:dyDescent="0.3">
      <c r="A34" s="2">
        <v>45627</v>
      </c>
      <c r="B34" t="s">
        <v>7</v>
      </c>
      <c r="C34">
        <v>1920</v>
      </c>
      <c r="D34" s="10">
        <v>12.648802083333329</v>
      </c>
      <c r="E34" s="10">
        <v>24285.7</v>
      </c>
      <c r="F34" t="s">
        <v>76</v>
      </c>
    </row>
    <row r="35" spans="1:6" x14ac:dyDescent="0.3">
      <c r="A35" s="2">
        <v>45658</v>
      </c>
      <c r="B35" t="s">
        <v>7</v>
      </c>
      <c r="C35">
        <v>0</v>
      </c>
      <c r="D35" s="10">
        <v>12.648802083333329</v>
      </c>
      <c r="E35" s="10">
        <v>0</v>
      </c>
      <c r="F35" t="s">
        <v>76</v>
      </c>
    </row>
    <row r="36" spans="1:6" x14ac:dyDescent="0.3">
      <c r="A36" s="2">
        <v>45689</v>
      </c>
      <c r="B36" t="s">
        <v>7</v>
      </c>
      <c r="C36">
        <v>3360</v>
      </c>
      <c r="D36" s="10">
        <v>12.649398809523809</v>
      </c>
      <c r="E36" s="10">
        <v>42501.98</v>
      </c>
      <c r="F36" t="s">
        <v>76</v>
      </c>
    </row>
    <row r="37" spans="1:6" x14ac:dyDescent="0.3">
      <c r="A37" s="2">
        <v>45717</v>
      </c>
      <c r="B37" t="s">
        <v>7</v>
      </c>
      <c r="C37">
        <v>12480</v>
      </c>
      <c r="D37" s="10">
        <v>12.64879967948718</v>
      </c>
      <c r="E37" s="10">
        <v>157857.01999999999</v>
      </c>
      <c r="F37" t="s">
        <v>76</v>
      </c>
    </row>
    <row r="38" spans="1:6" x14ac:dyDescent="0.3">
      <c r="A38" s="2">
        <v>45383</v>
      </c>
      <c r="B38" t="s">
        <v>8</v>
      </c>
      <c r="C38">
        <v>880</v>
      </c>
      <c r="D38" s="10">
        <v>112.8181818181818</v>
      </c>
      <c r="E38" s="10">
        <v>99280</v>
      </c>
      <c r="F38" t="s">
        <v>76</v>
      </c>
    </row>
    <row r="39" spans="1:6" x14ac:dyDescent="0.3">
      <c r="A39" s="2">
        <v>45413</v>
      </c>
      <c r="B39" t="s">
        <v>8</v>
      </c>
      <c r="C39">
        <v>1200</v>
      </c>
      <c r="D39" s="10">
        <v>125.45955833333331</v>
      </c>
      <c r="E39" s="10">
        <v>150551.47</v>
      </c>
      <c r="F39" t="s">
        <v>76</v>
      </c>
    </row>
    <row r="40" spans="1:6" x14ac:dyDescent="0.3">
      <c r="A40" s="2">
        <v>45444</v>
      </c>
      <c r="B40" t="s">
        <v>8</v>
      </c>
      <c r="C40">
        <v>1620</v>
      </c>
      <c r="D40" s="10">
        <v>135.14814814814821</v>
      </c>
      <c r="E40" s="10">
        <v>218940</v>
      </c>
      <c r="F40" t="s">
        <v>76</v>
      </c>
    </row>
    <row r="41" spans="1:6" x14ac:dyDescent="0.3">
      <c r="A41" s="2">
        <v>45474</v>
      </c>
      <c r="B41" t="s">
        <v>8</v>
      </c>
      <c r="C41">
        <v>0</v>
      </c>
      <c r="D41" s="10">
        <v>135.14814814814821</v>
      </c>
      <c r="E41" s="10">
        <v>0</v>
      </c>
      <c r="F41" t="s">
        <v>76</v>
      </c>
    </row>
    <row r="42" spans="1:6" x14ac:dyDescent="0.3">
      <c r="A42" s="2">
        <v>45505</v>
      </c>
      <c r="B42" t="s">
        <v>8</v>
      </c>
      <c r="C42">
        <v>0</v>
      </c>
      <c r="D42" s="10">
        <v>135.14814814814821</v>
      </c>
      <c r="E42" s="10">
        <v>0</v>
      </c>
      <c r="F42" t="s">
        <v>76</v>
      </c>
    </row>
    <row r="43" spans="1:6" x14ac:dyDescent="0.3">
      <c r="A43" s="2">
        <v>45536</v>
      </c>
      <c r="B43" t="s">
        <v>8</v>
      </c>
      <c r="C43">
        <v>1640</v>
      </c>
      <c r="D43" s="10">
        <v>89.41463414634147</v>
      </c>
      <c r="E43" s="10">
        <v>146640</v>
      </c>
      <c r="F43" t="s">
        <v>76</v>
      </c>
    </row>
    <row r="44" spans="1:6" x14ac:dyDescent="0.3">
      <c r="A44" s="2">
        <v>45566</v>
      </c>
      <c r="B44" t="s">
        <v>8</v>
      </c>
      <c r="C44">
        <v>0</v>
      </c>
      <c r="D44" s="10">
        <v>89.41463414634147</v>
      </c>
      <c r="E44" s="10">
        <v>0</v>
      </c>
      <c r="F44" t="s">
        <v>76</v>
      </c>
    </row>
    <row r="45" spans="1:6" x14ac:dyDescent="0.3">
      <c r="A45" s="2">
        <v>45597</v>
      </c>
      <c r="B45" t="s">
        <v>8</v>
      </c>
      <c r="C45">
        <v>1020</v>
      </c>
      <c r="D45" s="10">
        <v>86</v>
      </c>
      <c r="E45" s="10">
        <v>87720</v>
      </c>
      <c r="F45" t="s">
        <v>76</v>
      </c>
    </row>
    <row r="46" spans="1:6" x14ac:dyDescent="0.3">
      <c r="A46" s="2">
        <v>45627</v>
      </c>
      <c r="B46" t="s">
        <v>8</v>
      </c>
      <c r="C46">
        <v>0</v>
      </c>
      <c r="D46" s="10">
        <v>86</v>
      </c>
      <c r="E46" s="10">
        <v>0</v>
      </c>
      <c r="F46" t="s">
        <v>76</v>
      </c>
    </row>
    <row r="47" spans="1:6" x14ac:dyDescent="0.3">
      <c r="A47" s="2">
        <v>45658</v>
      </c>
      <c r="B47" t="s">
        <v>8</v>
      </c>
      <c r="C47">
        <v>1020</v>
      </c>
      <c r="D47" s="10">
        <v>84</v>
      </c>
      <c r="E47" s="10">
        <v>85680</v>
      </c>
      <c r="F47" t="s">
        <v>76</v>
      </c>
    </row>
    <row r="48" spans="1:6" x14ac:dyDescent="0.3">
      <c r="A48" s="2">
        <v>45689</v>
      </c>
      <c r="B48" t="s">
        <v>8</v>
      </c>
      <c r="C48">
        <v>2712</v>
      </c>
      <c r="D48" s="10">
        <v>113.4336283185841</v>
      </c>
      <c r="E48" s="10">
        <v>307632</v>
      </c>
      <c r="F48" t="s">
        <v>76</v>
      </c>
    </row>
    <row r="49" spans="1:6" x14ac:dyDescent="0.3">
      <c r="A49" s="2">
        <v>45717</v>
      </c>
      <c r="B49" t="s">
        <v>8</v>
      </c>
      <c r="C49">
        <v>0</v>
      </c>
      <c r="D49" s="10">
        <v>113.4336283185841</v>
      </c>
      <c r="E49" s="10">
        <v>0</v>
      </c>
      <c r="F49" t="s">
        <v>76</v>
      </c>
    </row>
    <row r="50" spans="1:6" x14ac:dyDescent="0.3">
      <c r="A50" s="2">
        <v>45383</v>
      </c>
      <c r="B50" t="s">
        <v>9</v>
      </c>
      <c r="C50">
        <v>20000</v>
      </c>
      <c r="D50" s="10">
        <v>13.5</v>
      </c>
      <c r="E50" s="10">
        <v>270000</v>
      </c>
      <c r="F50" t="s">
        <v>75</v>
      </c>
    </row>
    <row r="51" spans="1:6" x14ac:dyDescent="0.3">
      <c r="A51" s="2">
        <v>45413</v>
      </c>
      <c r="B51" t="s">
        <v>9</v>
      </c>
      <c r="C51">
        <v>7500</v>
      </c>
      <c r="D51" s="10">
        <v>13.5</v>
      </c>
      <c r="E51" s="10">
        <v>101250</v>
      </c>
      <c r="F51" t="s">
        <v>75</v>
      </c>
    </row>
    <row r="52" spans="1:6" x14ac:dyDescent="0.3">
      <c r="A52" s="2">
        <v>45444</v>
      </c>
      <c r="B52" t="s">
        <v>9</v>
      </c>
      <c r="C52">
        <v>17500</v>
      </c>
      <c r="D52" s="10">
        <v>13.5</v>
      </c>
      <c r="E52" s="10">
        <v>236250</v>
      </c>
      <c r="F52" t="s">
        <v>75</v>
      </c>
    </row>
    <row r="53" spans="1:6" x14ac:dyDescent="0.3">
      <c r="A53" s="2">
        <v>45474</v>
      </c>
      <c r="B53" t="s">
        <v>9</v>
      </c>
      <c r="C53">
        <v>0</v>
      </c>
      <c r="D53" s="10">
        <v>13.5</v>
      </c>
      <c r="E53" s="10">
        <v>0</v>
      </c>
      <c r="F53" t="s">
        <v>75</v>
      </c>
    </row>
    <row r="54" spans="1:6" x14ac:dyDescent="0.3">
      <c r="A54" s="2">
        <v>45505</v>
      </c>
      <c r="B54" t="s">
        <v>9</v>
      </c>
      <c r="C54">
        <v>0</v>
      </c>
      <c r="D54" s="10">
        <v>13.5</v>
      </c>
      <c r="E54" s="10">
        <v>0</v>
      </c>
      <c r="F54" t="s">
        <v>75</v>
      </c>
    </row>
    <row r="55" spans="1:6" x14ac:dyDescent="0.3">
      <c r="A55" s="2">
        <v>45536</v>
      </c>
      <c r="B55" t="s">
        <v>9</v>
      </c>
      <c r="C55">
        <v>0</v>
      </c>
      <c r="D55" s="10">
        <v>13.5</v>
      </c>
      <c r="E55" s="10">
        <v>0</v>
      </c>
      <c r="F55" t="s">
        <v>75</v>
      </c>
    </row>
    <row r="56" spans="1:6" x14ac:dyDescent="0.3">
      <c r="A56" s="2">
        <v>45566</v>
      </c>
      <c r="B56" t="s">
        <v>9</v>
      </c>
      <c r="C56">
        <v>0</v>
      </c>
      <c r="D56" s="10">
        <v>13.5</v>
      </c>
      <c r="E56" s="10">
        <v>0</v>
      </c>
      <c r="F56" t="s">
        <v>75</v>
      </c>
    </row>
    <row r="57" spans="1:6" x14ac:dyDescent="0.3">
      <c r="A57" s="2">
        <v>45597</v>
      </c>
      <c r="B57" t="s">
        <v>9</v>
      </c>
      <c r="C57">
        <v>0</v>
      </c>
      <c r="D57" s="10">
        <v>13.5</v>
      </c>
      <c r="E57" s="10">
        <v>0</v>
      </c>
      <c r="F57" t="s">
        <v>75</v>
      </c>
    </row>
    <row r="58" spans="1:6" x14ac:dyDescent="0.3">
      <c r="A58" s="2">
        <v>45627</v>
      </c>
      <c r="B58" t="s">
        <v>9</v>
      </c>
      <c r="C58">
        <v>15500</v>
      </c>
      <c r="D58" s="10">
        <v>14.82096774193548</v>
      </c>
      <c r="E58" s="10">
        <v>229725</v>
      </c>
      <c r="F58" t="s">
        <v>75</v>
      </c>
    </row>
    <row r="59" spans="1:6" x14ac:dyDescent="0.3">
      <c r="A59" s="2">
        <v>45658</v>
      </c>
      <c r="B59" t="s">
        <v>9</v>
      </c>
      <c r="C59">
        <v>0</v>
      </c>
      <c r="D59" s="10">
        <v>14.82096774193548</v>
      </c>
      <c r="E59" s="10">
        <v>0</v>
      </c>
      <c r="F59" t="s">
        <v>75</v>
      </c>
    </row>
    <row r="60" spans="1:6" x14ac:dyDescent="0.3">
      <c r="A60" s="2">
        <v>45689</v>
      </c>
      <c r="B60" t="s">
        <v>9</v>
      </c>
      <c r="C60">
        <v>15000</v>
      </c>
      <c r="D60" s="10">
        <v>11.144218</v>
      </c>
      <c r="E60" s="10">
        <v>167163.26999999999</v>
      </c>
      <c r="F60" t="s">
        <v>75</v>
      </c>
    </row>
    <row r="61" spans="1:6" x14ac:dyDescent="0.3">
      <c r="A61" s="2">
        <v>45717</v>
      </c>
      <c r="B61" t="s">
        <v>9</v>
      </c>
      <c r="C61">
        <v>6000</v>
      </c>
      <c r="D61" s="10">
        <v>14.2</v>
      </c>
      <c r="E61" s="10">
        <v>85200</v>
      </c>
      <c r="F61" t="s">
        <v>75</v>
      </c>
    </row>
    <row r="62" spans="1:6" x14ac:dyDescent="0.3">
      <c r="A62" s="2">
        <v>45383</v>
      </c>
      <c r="B62" t="s">
        <v>10</v>
      </c>
      <c r="C62">
        <v>3200</v>
      </c>
      <c r="D62" s="10">
        <v>23.138000000000002</v>
      </c>
      <c r="E62" s="10">
        <v>74041.600000000006</v>
      </c>
      <c r="F62" t="s">
        <v>75</v>
      </c>
    </row>
    <row r="63" spans="1:6" x14ac:dyDescent="0.3">
      <c r="A63" s="2">
        <v>45413</v>
      </c>
      <c r="B63" t="s">
        <v>10</v>
      </c>
      <c r="C63">
        <v>2520</v>
      </c>
      <c r="D63" s="10">
        <v>23.527206349206349</v>
      </c>
      <c r="E63" s="10">
        <v>59288.56</v>
      </c>
      <c r="F63" t="s">
        <v>75</v>
      </c>
    </row>
    <row r="64" spans="1:6" x14ac:dyDescent="0.3">
      <c r="A64" s="2">
        <v>45444</v>
      </c>
      <c r="B64" t="s">
        <v>10</v>
      </c>
      <c r="C64">
        <v>2550</v>
      </c>
      <c r="D64" s="10">
        <v>23.55388235294118</v>
      </c>
      <c r="E64" s="10">
        <v>60062.400000000001</v>
      </c>
      <c r="F64" t="s">
        <v>75</v>
      </c>
    </row>
    <row r="65" spans="1:6" x14ac:dyDescent="0.3">
      <c r="A65" s="2">
        <v>45474</v>
      </c>
      <c r="B65" t="s">
        <v>10</v>
      </c>
      <c r="C65">
        <v>5100</v>
      </c>
      <c r="D65" s="10">
        <v>22.17647058823529</v>
      </c>
      <c r="E65" s="10">
        <v>113100</v>
      </c>
      <c r="F65" t="s">
        <v>75</v>
      </c>
    </row>
    <row r="66" spans="1:6" x14ac:dyDescent="0.3">
      <c r="A66" s="2">
        <v>45505</v>
      </c>
      <c r="B66" t="s">
        <v>10</v>
      </c>
      <c r="C66">
        <v>5130</v>
      </c>
      <c r="D66" s="10">
        <v>22.55282651072125</v>
      </c>
      <c r="E66" s="10">
        <v>115696</v>
      </c>
      <c r="F66" t="s">
        <v>75</v>
      </c>
    </row>
    <row r="67" spans="1:6" x14ac:dyDescent="0.3">
      <c r="A67" s="2">
        <v>45536</v>
      </c>
      <c r="B67" t="s">
        <v>10</v>
      </c>
      <c r="C67">
        <v>3100</v>
      </c>
      <c r="D67" s="10">
        <v>22.45870967741935</v>
      </c>
      <c r="E67" s="10">
        <v>69622</v>
      </c>
      <c r="F67" t="s">
        <v>75</v>
      </c>
    </row>
    <row r="68" spans="1:6" x14ac:dyDescent="0.3">
      <c r="A68" s="2">
        <v>45566</v>
      </c>
      <c r="B68" t="s">
        <v>10</v>
      </c>
      <c r="C68">
        <v>2530</v>
      </c>
      <c r="D68" s="10">
        <v>22.5897233201581</v>
      </c>
      <c r="E68" s="10">
        <v>57152</v>
      </c>
      <c r="F68" t="s">
        <v>75</v>
      </c>
    </row>
    <row r="69" spans="1:6" x14ac:dyDescent="0.3">
      <c r="A69" s="2">
        <v>45597</v>
      </c>
      <c r="B69" t="s">
        <v>10</v>
      </c>
      <c r="C69">
        <v>1500</v>
      </c>
      <c r="D69" s="10">
        <v>22.04</v>
      </c>
      <c r="E69" s="10">
        <v>33060</v>
      </c>
      <c r="F69" t="s">
        <v>75</v>
      </c>
    </row>
    <row r="70" spans="1:6" x14ac:dyDescent="0.3">
      <c r="A70" s="2">
        <v>45627</v>
      </c>
      <c r="B70" t="s">
        <v>10</v>
      </c>
      <c r="C70">
        <v>2850</v>
      </c>
      <c r="D70" s="10">
        <v>22.04</v>
      </c>
      <c r="E70" s="10">
        <v>62814</v>
      </c>
      <c r="F70" t="s">
        <v>75</v>
      </c>
    </row>
    <row r="71" spans="1:6" x14ac:dyDescent="0.3">
      <c r="A71" s="2">
        <v>45658</v>
      </c>
      <c r="B71" t="s">
        <v>10</v>
      </c>
      <c r="C71">
        <v>3450</v>
      </c>
      <c r="D71" s="10">
        <v>22.79246376811594</v>
      </c>
      <c r="E71" s="10">
        <v>78634</v>
      </c>
      <c r="F71" t="s">
        <v>75</v>
      </c>
    </row>
    <row r="72" spans="1:6" x14ac:dyDescent="0.3">
      <c r="A72" s="2">
        <v>45689</v>
      </c>
      <c r="B72" t="s">
        <v>10</v>
      </c>
      <c r="C72">
        <v>2900</v>
      </c>
      <c r="D72" s="10">
        <v>22.04</v>
      </c>
      <c r="E72" s="10">
        <v>63916</v>
      </c>
      <c r="F72" t="s">
        <v>75</v>
      </c>
    </row>
    <row r="73" spans="1:6" x14ac:dyDescent="0.3">
      <c r="A73" s="2">
        <v>45717</v>
      </c>
      <c r="B73" t="s">
        <v>10</v>
      </c>
      <c r="C73">
        <v>4950</v>
      </c>
      <c r="D73" s="10">
        <v>22.04</v>
      </c>
      <c r="E73" s="10">
        <v>109098</v>
      </c>
      <c r="F73" t="s">
        <v>75</v>
      </c>
    </row>
    <row r="74" spans="1:6" x14ac:dyDescent="0.3">
      <c r="A74" s="2">
        <v>45383</v>
      </c>
      <c r="B74" t="s">
        <v>11</v>
      </c>
      <c r="C74">
        <v>28030</v>
      </c>
      <c r="D74" s="10">
        <v>3.121699964323938</v>
      </c>
      <c r="E74" s="10">
        <v>87501.25</v>
      </c>
      <c r="F74" t="s">
        <v>76</v>
      </c>
    </row>
    <row r="75" spans="1:6" x14ac:dyDescent="0.3">
      <c r="A75" s="2">
        <v>45413</v>
      </c>
      <c r="B75" t="s">
        <v>11</v>
      </c>
      <c r="C75">
        <v>100000</v>
      </c>
      <c r="D75" s="10">
        <v>3.5</v>
      </c>
      <c r="E75" s="10">
        <v>350000</v>
      </c>
      <c r="F75" t="s">
        <v>76</v>
      </c>
    </row>
    <row r="76" spans="1:6" x14ac:dyDescent="0.3">
      <c r="A76" s="2">
        <v>45444</v>
      </c>
      <c r="B76" t="s">
        <v>11</v>
      </c>
      <c r="C76">
        <v>40000</v>
      </c>
      <c r="D76" s="10">
        <v>3.5</v>
      </c>
      <c r="E76" s="10">
        <v>140000</v>
      </c>
      <c r="F76" t="s">
        <v>76</v>
      </c>
    </row>
    <row r="77" spans="1:6" x14ac:dyDescent="0.3">
      <c r="A77" s="2">
        <v>45474</v>
      </c>
      <c r="B77" t="s">
        <v>11</v>
      </c>
      <c r="C77">
        <v>50000</v>
      </c>
      <c r="D77" s="10">
        <v>3.5</v>
      </c>
      <c r="E77" s="10">
        <v>175000</v>
      </c>
      <c r="F77" t="s">
        <v>76</v>
      </c>
    </row>
    <row r="78" spans="1:6" x14ac:dyDescent="0.3">
      <c r="A78" s="2">
        <v>45505</v>
      </c>
      <c r="B78" t="s">
        <v>11</v>
      </c>
      <c r="C78">
        <v>0</v>
      </c>
      <c r="D78" s="10">
        <v>3.5</v>
      </c>
      <c r="E78" s="10">
        <v>0</v>
      </c>
      <c r="F78" t="s">
        <v>76</v>
      </c>
    </row>
    <row r="79" spans="1:6" x14ac:dyDescent="0.3">
      <c r="A79" s="2">
        <v>45536</v>
      </c>
      <c r="B79" t="s">
        <v>11</v>
      </c>
      <c r="C79">
        <v>2000</v>
      </c>
      <c r="D79" s="10">
        <v>3.7</v>
      </c>
      <c r="E79" s="10">
        <v>7400</v>
      </c>
      <c r="F79" t="s">
        <v>76</v>
      </c>
    </row>
    <row r="80" spans="1:6" x14ac:dyDescent="0.3">
      <c r="A80" s="2">
        <v>45566</v>
      </c>
      <c r="B80" t="s">
        <v>11</v>
      </c>
      <c r="C80">
        <v>-4000</v>
      </c>
      <c r="D80" s="10">
        <v>1.6964999999999999</v>
      </c>
      <c r="E80" s="10">
        <v>-6786</v>
      </c>
      <c r="F80" t="s">
        <v>76</v>
      </c>
    </row>
    <row r="81" spans="1:6" x14ac:dyDescent="0.3">
      <c r="A81" s="2">
        <v>45597</v>
      </c>
      <c r="B81" t="s">
        <v>11</v>
      </c>
      <c r="C81">
        <v>0</v>
      </c>
      <c r="D81" s="10">
        <v>1.6964999999999999</v>
      </c>
      <c r="E81" s="10">
        <v>0</v>
      </c>
      <c r="F81" t="s">
        <v>76</v>
      </c>
    </row>
    <row r="82" spans="1:6" x14ac:dyDescent="0.3">
      <c r="A82" s="2">
        <v>45627</v>
      </c>
      <c r="B82" t="s">
        <v>11</v>
      </c>
      <c r="C82">
        <v>0</v>
      </c>
      <c r="D82" s="10">
        <v>1.6964999999999999</v>
      </c>
      <c r="E82" s="10">
        <v>0</v>
      </c>
      <c r="F82" t="s">
        <v>76</v>
      </c>
    </row>
    <row r="83" spans="1:6" x14ac:dyDescent="0.3">
      <c r="A83" s="2">
        <v>45658</v>
      </c>
      <c r="B83" t="s">
        <v>11</v>
      </c>
      <c r="C83">
        <v>0</v>
      </c>
      <c r="D83" s="10">
        <v>1.6964999999999999</v>
      </c>
      <c r="E83" s="10">
        <v>0</v>
      </c>
      <c r="F83" t="s">
        <v>76</v>
      </c>
    </row>
    <row r="84" spans="1:6" x14ac:dyDescent="0.3">
      <c r="A84" s="2">
        <v>45689</v>
      </c>
      <c r="B84" t="s">
        <v>11</v>
      </c>
      <c r="C84">
        <v>0</v>
      </c>
      <c r="D84" s="10">
        <v>1.6964999999999999</v>
      </c>
      <c r="E84" s="10">
        <v>0</v>
      </c>
      <c r="F84" t="s">
        <v>76</v>
      </c>
    </row>
    <row r="85" spans="1:6" x14ac:dyDescent="0.3">
      <c r="A85" s="2">
        <v>45717</v>
      </c>
      <c r="B85" t="s">
        <v>11</v>
      </c>
      <c r="C85">
        <v>0</v>
      </c>
      <c r="D85" s="10">
        <v>1.6964999999999999</v>
      </c>
      <c r="E85" s="10">
        <v>0</v>
      </c>
      <c r="F85" t="s">
        <v>76</v>
      </c>
    </row>
    <row r="86" spans="1:6" x14ac:dyDescent="0.3">
      <c r="A86" s="2">
        <v>45383</v>
      </c>
      <c r="B86" t="s">
        <v>12</v>
      </c>
      <c r="C86">
        <v>0</v>
      </c>
      <c r="D86" s="10">
        <v>93.754500000000007</v>
      </c>
      <c r="E86" s="10">
        <v>0</v>
      </c>
      <c r="F86" t="s">
        <v>76</v>
      </c>
    </row>
    <row r="87" spans="1:6" x14ac:dyDescent="0.3">
      <c r="A87" s="2">
        <v>45413</v>
      </c>
      <c r="B87" t="s">
        <v>12</v>
      </c>
      <c r="C87">
        <v>5000</v>
      </c>
      <c r="D87" s="10">
        <v>91</v>
      </c>
      <c r="E87" s="10">
        <v>455000</v>
      </c>
      <c r="F87" t="s">
        <v>76</v>
      </c>
    </row>
    <row r="88" spans="1:6" x14ac:dyDescent="0.3">
      <c r="A88" s="2">
        <v>45444</v>
      </c>
      <c r="B88" t="s">
        <v>12</v>
      </c>
      <c r="C88">
        <v>0</v>
      </c>
      <c r="D88" s="10">
        <v>91</v>
      </c>
      <c r="E88" s="10">
        <v>0</v>
      </c>
      <c r="F88" t="s">
        <v>76</v>
      </c>
    </row>
    <row r="89" spans="1:6" x14ac:dyDescent="0.3">
      <c r="A89" s="2">
        <v>45474</v>
      </c>
      <c r="B89" t="s">
        <v>12</v>
      </c>
      <c r="C89">
        <v>0</v>
      </c>
      <c r="D89" s="10">
        <v>91</v>
      </c>
      <c r="E89" s="10">
        <v>0</v>
      </c>
      <c r="F89" t="s">
        <v>76</v>
      </c>
    </row>
    <row r="90" spans="1:6" x14ac:dyDescent="0.3">
      <c r="A90" s="2">
        <v>45505</v>
      </c>
      <c r="B90" t="s">
        <v>12</v>
      </c>
      <c r="C90">
        <v>0</v>
      </c>
      <c r="D90" s="10">
        <v>91</v>
      </c>
      <c r="E90" s="10">
        <v>0</v>
      </c>
      <c r="F90" t="s">
        <v>76</v>
      </c>
    </row>
    <row r="91" spans="1:6" x14ac:dyDescent="0.3">
      <c r="A91" s="2">
        <v>45536</v>
      </c>
      <c r="B91" t="s">
        <v>12</v>
      </c>
      <c r="C91">
        <v>0</v>
      </c>
      <c r="D91" s="10">
        <v>91</v>
      </c>
      <c r="E91" s="10">
        <v>0</v>
      </c>
      <c r="F91" t="s">
        <v>76</v>
      </c>
    </row>
    <row r="92" spans="1:6" x14ac:dyDescent="0.3">
      <c r="A92" s="2">
        <v>45566</v>
      </c>
      <c r="B92" t="s">
        <v>12</v>
      </c>
      <c r="C92">
        <v>0</v>
      </c>
      <c r="D92" s="10">
        <v>91</v>
      </c>
      <c r="E92" s="10">
        <v>0</v>
      </c>
      <c r="F92" t="s">
        <v>76</v>
      </c>
    </row>
    <row r="93" spans="1:6" x14ac:dyDescent="0.3">
      <c r="A93" s="2">
        <v>45597</v>
      </c>
      <c r="B93" t="s">
        <v>12</v>
      </c>
      <c r="C93">
        <v>6000</v>
      </c>
      <c r="D93" s="10">
        <v>0.95</v>
      </c>
      <c r="E93" s="10">
        <v>5700</v>
      </c>
      <c r="F93" t="s">
        <v>76</v>
      </c>
    </row>
    <row r="94" spans="1:6" x14ac:dyDescent="0.3">
      <c r="A94" s="2">
        <v>45627</v>
      </c>
      <c r="B94" t="s">
        <v>12</v>
      </c>
      <c r="C94">
        <v>0</v>
      </c>
      <c r="D94" s="10">
        <v>0.95</v>
      </c>
      <c r="E94" s="10">
        <v>0</v>
      </c>
      <c r="F94" t="s">
        <v>76</v>
      </c>
    </row>
    <row r="95" spans="1:6" x14ac:dyDescent="0.3">
      <c r="A95" s="2">
        <v>45658</v>
      </c>
      <c r="B95" t="s">
        <v>12</v>
      </c>
      <c r="C95">
        <v>0</v>
      </c>
      <c r="D95" s="10">
        <v>0.95</v>
      </c>
      <c r="E95" s="10">
        <v>0</v>
      </c>
      <c r="F95" t="s">
        <v>76</v>
      </c>
    </row>
    <row r="96" spans="1:6" x14ac:dyDescent="0.3">
      <c r="A96" s="2">
        <v>45689</v>
      </c>
      <c r="B96" t="s">
        <v>12</v>
      </c>
      <c r="C96">
        <v>1800</v>
      </c>
      <c r="D96" s="10">
        <v>90</v>
      </c>
      <c r="E96" s="10">
        <v>162000</v>
      </c>
      <c r="F96" t="s">
        <v>76</v>
      </c>
    </row>
    <row r="97" spans="1:6" x14ac:dyDescent="0.3">
      <c r="A97" s="2">
        <v>45717</v>
      </c>
      <c r="B97" t="s">
        <v>12</v>
      </c>
      <c r="C97">
        <v>0</v>
      </c>
      <c r="D97" s="10">
        <v>90</v>
      </c>
      <c r="E97" s="10">
        <v>0</v>
      </c>
      <c r="F97" t="s">
        <v>76</v>
      </c>
    </row>
    <row r="98" spans="1:6" x14ac:dyDescent="0.3">
      <c r="A98" s="2">
        <v>45383</v>
      </c>
      <c r="B98" t="s">
        <v>13</v>
      </c>
      <c r="C98">
        <v>12000</v>
      </c>
      <c r="D98" s="10">
        <v>11.9</v>
      </c>
      <c r="E98" s="10">
        <v>142800</v>
      </c>
      <c r="F98" t="s">
        <v>76</v>
      </c>
    </row>
    <row r="99" spans="1:6" x14ac:dyDescent="0.3">
      <c r="A99" s="2">
        <v>45413</v>
      </c>
      <c r="B99" t="s">
        <v>13</v>
      </c>
      <c r="C99">
        <v>9840</v>
      </c>
      <c r="D99" s="10">
        <v>11.9</v>
      </c>
      <c r="E99" s="10">
        <v>117096</v>
      </c>
      <c r="F99" t="s">
        <v>76</v>
      </c>
    </row>
    <row r="100" spans="1:6" x14ac:dyDescent="0.3">
      <c r="A100" s="2">
        <v>45444</v>
      </c>
      <c r="B100" t="s">
        <v>13</v>
      </c>
      <c r="C100">
        <v>10320</v>
      </c>
      <c r="D100" s="10">
        <v>11.9</v>
      </c>
      <c r="E100" s="10">
        <v>122808</v>
      </c>
      <c r="F100" t="s">
        <v>76</v>
      </c>
    </row>
    <row r="101" spans="1:6" x14ac:dyDescent="0.3">
      <c r="A101" s="2">
        <v>45474</v>
      </c>
      <c r="B101" t="s">
        <v>13</v>
      </c>
      <c r="C101">
        <v>7200</v>
      </c>
      <c r="D101" s="10">
        <v>11.9</v>
      </c>
      <c r="E101" s="10">
        <v>85680</v>
      </c>
      <c r="F101" t="s">
        <v>76</v>
      </c>
    </row>
    <row r="102" spans="1:6" x14ac:dyDescent="0.3">
      <c r="A102" s="2">
        <v>45505</v>
      </c>
      <c r="B102" t="s">
        <v>13</v>
      </c>
      <c r="C102">
        <v>480</v>
      </c>
      <c r="D102" s="10">
        <v>12.41</v>
      </c>
      <c r="E102" s="10">
        <v>5956.8</v>
      </c>
      <c r="F102" t="s">
        <v>76</v>
      </c>
    </row>
    <row r="103" spans="1:6" x14ac:dyDescent="0.3">
      <c r="A103" s="2">
        <v>45536</v>
      </c>
      <c r="B103" t="s">
        <v>13</v>
      </c>
      <c r="C103">
        <v>5640</v>
      </c>
      <c r="D103" s="10">
        <v>11.9</v>
      </c>
      <c r="E103" s="10">
        <v>67116</v>
      </c>
      <c r="F103" t="s">
        <v>76</v>
      </c>
    </row>
    <row r="104" spans="1:6" x14ac:dyDescent="0.3">
      <c r="A104" s="2">
        <v>45566</v>
      </c>
      <c r="B104" t="s">
        <v>13</v>
      </c>
      <c r="C104">
        <v>2640</v>
      </c>
      <c r="D104" s="10">
        <v>11.9</v>
      </c>
      <c r="E104" s="10">
        <v>31416</v>
      </c>
      <c r="F104" t="s">
        <v>76</v>
      </c>
    </row>
    <row r="105" spans="1:6" x14ac:dyDescent="0.3">
      <c r="A105" s="2">
        <v>45597</v>
      </c>
      <c r="B105" t="s">
        <v>13</v>
      </c>
      <c r="C105">
        <v>3600</v>
      </c>
      <c r="D105" s="10">
        <v>11.9</v>
      </c>
      <c r="E105" s="10">
        <v>42840</v>
      </c>
      <c r="F105" t="s">
        <v>76</v>
      </c>
    </row>
    <row r="106" spans="1:6" x14ac:dyDescent="0.3">
      <c r="A106" s="2">
        <v>45627</v>
      </c>
      <c r="B106" t="s">
        <v>13</v>
      </c>
      <c r="C106">
        <v>0</v>
      </c>
      <c r="D106" s="10">
        <v>11.9</v>
      </c>
      <c r="E106" s="10">
        <v>0</v>
      </c>
      <c r="F106" t="s">
        <v>76</v>
      </c>
    </row>
    <row r="107" spans="1:6" x14ac:dyDescent="0.3">
      <c r="A107" s="2">
        <v>45658</v>
      </c>
      <c r="B107" t="s">
        <v>13</v>
      </c>
      <c r="C107">
        <v>120</v>
      </c>
      <c r="D107" s="10">
        <v>12.41</v>
      </c>
      <c r="E107" s="10">
        <v>1489.2</v>
      </c>
      <c r="F107" t="s">
        <v>76</v>
      </c>
    </row>
    <row r="108" spans="1:6" x14ac:dyDescent="0.3">
      <c r="A108" s="2">
        <v>45689</v>
      </c>
      <c r="B108" t="s">
        <v>13</v>
      </c>
      <c r="C108">
        <v>0</v>
      </c>
      <c r="D108" s="10">
        <v>12.41</v>
      </c>
      <c r="E108" s="10">
        <v>0</v>
      </c>
      <c r="F108" t="s">
        <v>76</v>
      </c>
    </row>
    <row r="109" spans="1:6" x14ac:dyDescent="0.3">
      <c r="A109" s="2">
        <v>45717</v>
      </c>
      <c r="B109" t="s">
        <v>13</v>
      </c>
      <c r="C109">
        <v>0</v>
      </c>
      <c r="D109" s="10">
        <v>12.41</v>
      </c>
      <c r="E109" s="10">
        <v>0</v>
      </c>
      <c r="F109" t="s">
        <v>76</v>
      </c>
    </row>
    <row r="110" spans="1:6" x14ac:dyDescent="0.3">
      <c r="A110" s="2">
        <v>45383</v>
      </c>
      <c r="B110" t="s">
        <v>14</v>
      </c>
      <c r="C110">
        <v>0</v>
      </c>
      <c r="D110" s="10">
        <v>106.48269281045749</v>
      </c>
      <c r="E110" s="10">
        <v>0</v>
      </c>
      <c r="F110" t="s">
        <v>76</v>
      </c>
    </row>
    <row r="111" spans="1:6" x14ac:dyDescent="0.3">
      <c r="A111" s="2">
        <v>45413</v>
      </c>
      <c r="B111" t="s">
        <v>14</v>
      </c>
      <c r="C111">
        <v>1026</v>
      </c>
      <c r="D111" s="10">
        <v>108.5369590643275</v>
      </c>
      <c r="E111" s="10">
        <v>111358.92</v>
      </c>
      <c r="F111" t="s">
        <v>76</v>
      </c>
    </row>
    <row r="112" spans="1:6" x14ac:dyDescent="0.3">
      <c r="A112" s="2">
        <v>45444</v>
      </c>
      <c r="B112" t="s">
        <v>14</v>
      </c>
      <c r="C112">
        <v>12</v>
      </c>
      <c r="D112" s="10">
        <v>254.47666666666669</v>
      </c>
      <c r="E112" s="10">
        <v>3053.72</v>
      </c>
      <c r="F112" t="s">
        <v>76</v>
      </c>
    </row>
    <row r="113" spans="1:6" x14ac:dyDescent="0.3">
      <c r="A113" s="2">
        <v>45474</v>
      </c>
      <c r="B113" t="s">
        <v>14</v>
      </c>
      <c r="C113">
        <v>792</v>
      </c>
      <c r="D113" s="10">
        <v>107.14801767676769</v>
      </c>
      <c r="E113" s="10">
        <v>84861.23000000001</v>
      </c>
      <c r="F113" t="s">
        <v>76</v>
      </c>
    </row>
    <row r="114" spans="1:6" x14ac:dyDescent="0.3">
      <c r="A114" s="2">
        <v>45505</v>
      </c>
      <c r="B114" t="s">
        <v>14</v>
      </c>
      <c r="C114">
        <v>0</v>
      </c>
      <c r="D114" s="10">
        <v>107.14801767676769</v>
      </c>
      <c r="E114" s="10">
        <v>0</v>
      </c>
      <c r="F114" t="s">
        <v>76</v>
      </c>
    </row>
    <row r="115" spans="1:6" x14ac:dyDescent="0.3">
      <c r="A115" s="2">
        <v>45536</v>
      </c>
      <c r="B115" t="s">
        <v>14</v>
      </c>
      <c r="C115">
        <v>0</v>
      </c>
      <c r="D115" s="10">
        <v>107.14801767676769</v>
      </c>
      <c r="E115" s="10">
        <v>0</v>
      </c>
      <c r="F115" t="s">
        <v>76</v>
      </c>
    </row>
    <row r="116" spans="1:6" x14ac:dyDescent="0.3">
      <c r="A116" s="2">
        <v>45566</v>
      </c>
      <c r="B116" t="s">
        <v>14</v>
      </c>
      <c r="C116">
        <v>1320</v>
      </c>
      <c r="D116" s="10">
        <v>103.5763939393939</v>
      </c>
      <c r="E116" s="10">
        <v>136720.84</v>
      </c>
      <c r="F116" t="s">
        <v>76</v>
      </c>
    </row>
    <row r="117" spans="1:6" x14ac:dyDescent="0.3">
      <c r="A117" s="2">
        <v>45597</v>
      </c>
      <c r="B117" t="s">
        <v>14</v>
      </c>
      <c r="C117">
        <v>0</v>
      </c>
      <c r="D117" s="10">
        <v>103.5763939393939</v>
      </c>
      <c r="E117" s="10">
        <v>0</v>
      </c>
      <c r="F117" t="s">
        <v>76</v>
      </c>
    </row>
    <row r="118" spans="1:6" x14ac:dyDescent="0.3">
      <c r="A118" s="2">
        <v>45627</v>
      </c>
      <c r="B118" t="s">
        <v>14</v>
      </c>
      <c r="C118">
        <v>442</v>
      </c>
      <c r="D118" s="10">
        <v>131.60782805429861</v>
      </c>
      <c r="E118" s="10">
        <v>58170.66</v>
      </c>
      <c r="F118" t="s">
        <v>76</v>
      </c>
    </row>
    <row r="119" spans="1:6" x14ac:dyDescent="0.3">
      <c r="A119" s="2">
        <v>45658</v>
      </c>
      <c r="B119" t="s">
        <v>14</v>
      </c>
      <c r="C119">
        <v>1120</v>
      </c>
      <c r="D119" s="10">
        <v>112.57715178571431</v>
      </c>
      <c r="E119" s="10">
        <v>126086.41</v>
      </c>
      <c r="F119" t="s">
        <v>76</v>
      </c>
    </row>
    <row r="120" spans="1:6" x14ac:dyDescent="0.3">
      <c r="A120" s="2">
        <v>45689</v>
      </c>
      <c r="B120" t="s">
        <v>14</v>
      </c>
      <c r="C120">
        <v>60</v>
      </c>
      <c r="D120" s="10">
        <v>254.47649999999999</v>
      </c>
      <c r="E120" s="10">
        <v>15268.59</v>
      </c>
      <c r="F120" t="s">
        <v>76</v>
      </c>
    </row>
    <row r="121" spans="1:6" x14ac:dyDescent="0.3">
      <c r="A121" s="2">
        <v>45717</v>
      </c>
      <c r="B121" t="s">
        <v>14</v>
      </c>
      <c r="C121">
        <v>39</v>
      </c>
      <c r="D121" s="10">
        <v>100.8976923076923</v>
      </c>
      <c r="E121" s="10">
        <v>3935.0099999999989</v>
      </c>
      <c r="F121" t="s">
        <v>76</v>
      </c>
    </row>
    <row r="122" spans="1:6" x14ac:dyDescent="0.3">
      <c r="A122" s="2">
        <v>45383</v>
      </c>
      <c r="B122" t="s">
        <v>15</v>
      </c>
      <c r="C122">
        <v>0</v>
      </c>
      <c r="D122" s="10">
        <v>113</v>
      </c>
      <c r="E122" s="10">
        <v>0</v>
      </c>
      <c r="F122" t="s">
        <v>76</v>
      </c>
    </row>
    <row r="123" spans="1:6" x14ac:dyDescent="0.3">
      <c r="A123" s="2">
        <v>45413</v>
      </c>
      <c r="B123" t="s">
        <v>15</v>
      </c>
      <c r="C123">
        <v>3340</v>
      </c>
      <c r="D123" s="10">
        <v>111</v>
      </c>
      <c r="E123" s="10">
        <v>370740</v>
      </c>
      <c r="F123" t="s">
        <v>76</v>
      </c>
    </row>
    <row r="124" spans="1:6" x14ac:dyDescent="0.3">
      <c r="A124" s="2">
        <v>45444</v>
      </c>
      <c r="B124" t="s">
        <v>15</v>
      </c>
      <c r="C124">
        <v>0</v>
      </c>
      <c r="D124" s="10">
        <v>111</v>
      </c>
      <c r="E124" s="10">
        <v>0</v>
      </c>
      <c r="F124" t="s">
        <v>76</v>
      </c>
    </row>
    <row r="125" spans="1:6" x14ac:dyDescent="0.3">
      <c r="A125" s="2">
        <v>45474</v>
      </c>
      <c r="B125" t="s">
        <v>15</v>
      </c>
      <c r="C125">
        <v>0</v>
      </c>
      <c r="D125" s="10">
        <v>111</v>
      </c>
      <c r="E125" s="10">
        <v>0</v>
      </c>
      <c r="F125" t="s">
        <v>76</v>
      </c>
    </row>
    <row r="126" spans="1:6" x14ac:dyDescent="0.3">
      <c r="A126" s="2">
        <v>45505</v>
      </c>
      <c r="B126" t="s">
        <v>15</v>
      </c>
      <c r="C126">
        <v>0</v>
      </c>
      <c r="D126" s="10">
        <v>111</v>
      </c>
      <c r="E126" s="10">
        <v>0</v>
      </c>
      <c r="F126" t="s">
        <v>76</v>
      </c>
    </row>
    <row r="127" spans="1:6" x14ac:dyDescent="0.3">
      <c r="A127" s="2">
        <v>45536</v>
      </c>
      <c r="B127" t="s">
        <v>15</v>
      </c>
      <c r="C127">
        <v>0</v>
      </c>
      <c r="D127" s="10">
        <v>111</v>
      </c>
      <c r="E127" s="10">
        <v>0</v>
      </c>
      <c r="F127" t="s">
        <v>76</v>
      </c>
    </row>
    <row r="128" spans="1:6" x14ac:dyDescent="0.3">
      <c r="A128" s="2">
        <v>45566</v>
      </c>
      <c r="B128" t="s">
        <v>15</v>
      </c>
      <c r="C128">
        <v>0</v>
      </c>
      <c r="D128" s="10">
        <v>111</v>
      </c>
      <c r="E128" s="10">
        <v>0</v>
      </c>
      <c r="F128" t="s">
        <v>76</v>
      </c>
    </row>
    <row r="129" spans="1:6" x14ac:dyDescent="0.3">
      <c r="A129" s="2">
        <v>45597</v>
      </c>
      <c r="B129" t="s">
        <v>15</v>
      </c>
      <c r="C129">
        <v>4000</v>
      </c>
      <c r="D129" s="10">
        <v>1.1499999999999999</v>
      </c>
      <c r="E129" s="10">
        <v>4600</v>
      </c>
      <c r="F129" t="s">
        <v>76</v>
      </c>
    </row>
    <row r="130" spans="1:6" x14ac:dyDescent="0.3">
      <c r="A130" s="2">
        <v>45627</v>
      </c>
      <c r="B130" t="s">
        <v>15</v>
      </c>
      <c r="C130">
        <v>0</v>
      </c>
      <c r="D130" s="10">
        <v>1.1499999999999999</v>
      </c>
      <c r="E130" s="10">
        <v>0</v>
      </c>
      <c r="F130" t="s">
        <v>76</v>
      </c>
    </row>
    <row r="131" spans="1:6" x14ac:dyDescent="0.3">
      <c r="A131" s="2">
        <v>45658</v>
      </c>
      <c r="B131" t="s">
        <v>15</v>
      </c>
      <c r="C131">
        <v>0</v>
      </c>
      <c r="D131" s="10">
        <v>1.1499999999999999</v>
      </c>
      <c r="E131" s="10">
        <v>0</v>
      </c>
      <c r="F131" t="s">
        <v>76</v>
      </c>
    </row>
    <row r="132" spans="1:6" x14ac:dyDescent="0.3">
      <c r="A132" s="2">
        <v>45689</v>
      </c>
      <c r="B132" t="s">
        <v>15</v>
      </c>
      <c r="C132">
        <v>1200</v>
      </c>
      <c r="D132" s="10">
        <v>110</v>
      </c>
      <c r="E132" s="10">
        <v>132000</v>
      </c>
      <c r="F132" t="s">
        <v>76</v>
      </c>
    </row>
    <row r="133" spans="1:6" x14ac:dyDescent="0.3">
      <c r="A133" s="2">
        <v>45717</v>
      </c>
      <c r="B133" t="s">
        <v>15</v>
      </c>
      <c r="C133">
        <v>0</v>
      </c>
      <c r="D133" s="10">
        <v>110</v>
      </c>
      <c r="E133" s="10">
        <v>0</v>
      </c>
      <c r="F133" t="s">
        <v>76</v>
      </c>
    </row>
    <row r="134" spans="1:6" x14ac:dyDescent="0.3">
      <c r="A134" s="2">
        <v>45383</v>
      </c>
      <c r="B134" t="s">
        <v>16</v>
      </c>
      <c r="C134">
        <v>0</v>
      </c>
      <c r="D134" s="10">
        <v>6.6</v>
      </c>
      <c r="E134" s="10">
        <v>0</v>
      </c>
      <c r="F134" t="s">
        <v>76</v>
      </c>
    </row>
    <row r="135" spans="1:6" x14ac:dyDescent="0.3">
      <c r="A135" s="2">
        <v>45413</v>
      </c>
      <c r="B135" t="s">
        <v>16</v>
      </c>
      <c r="C135">
        <v>0</v>
      </c>
      <c r="D135" s="10">
        <v>6.6</v>
      </c>
      <c r="E135" s="10">
        <v>0</v>
      </c>
      <c r="F135" t="s">
        <v>76</v>
      </c>
    </row>
    <row r="136" spans="1:6" x14ac:dyDescent="0.3">
      <c r="A136" s="2">
        <v>45444</v>
      </c>
      <c r="B136" t="s">
        <v>16</v>
      </c>
      <c r="C136">
        <v>2000</v>
      </c>
      <c r="D136" s="10">
        <v>6.6</v>
      </c>
      <c r="E136" s="10">
        <v>13200</v>
      </c>
      <c r="F136" t="s">
        <v>76</v>
      </c>
    </row>
    <row r="137" spans="1:6" x14ac:dyDescent="0.3">
      <c r="A137" s="2">
        <v>45474</v>
      </c>
      <c r="B137" t="s">
        <v>16</v>
      </c>
      <c r="C137">
        <v>0</v>
      </c>
      <c r="D137" s="10">
        <v>6.6</v>
      </c>
      <c r="E137" s="10">
        <v>0</v>
      </c>
      <c r="F137" t="s">
        <v>76</v>
      </c>
    </row>
    <row r="138" spans="1:6" x14ac:dyDescent="0.3">
      <c r="A138" s="2">
        <v>45505</v>
      </c>
      <c r="B138" t="s">
        <v>16</v>
      </c>
      <c r="C138">
        <v>30000</v>
      </c>
      <c r="D138" s="10">
        <v>5.3571</v>
      </c>
      <c r="E138" s="10">
        <v>160713</v>
      </c>
      <c r="F138" t="s">
        <v>76</v>
      </c>
    </row>
    <row r="139" spans="1:6" x14ac:dyDescent="0.3">
      <c r="A139" s="2">
        <v>45536</v>
      </c>
      <c r="B139" t="s">
        <v>16</v>
      </c>
      <c r="C139">
        <v>30000</v>
      </c>
      <c r="D139" s="10">
        <v>5.3571</v>
      </c>
      <c r="E139" s="10">
        <v>160713</v>
      </c>
      <c r="F139" t="s">
        <v>76</v>
      </c>
    </row>
    <row r="140" spans="1:6" x14ac:dyDescent="0.3">
      <c r="A140" s="2">
        <v>45566</v>
      </c>
      <c r="B140" t="s">
        <v>16</v>
      </c>
      <c r="C140">
        <v>0</v>
      </c>
      <c r="D140" s="10">
        <v>5.3571</v>
      </c>
      <c r="E140" s="10">
        <v>0</v>
      </c>
      <c r="F140" t="s">
        <v>76</v>
      </c>
    </row>
    <row r="141" spans="1:6" x14ac:dyDescent="0.3">
      <c r="A141" s="2">
        <v>45597</v>
      </c>
      <c r="B141" t="s">
        <v>16</v>
      </c>
      <c r="C141">
        <v>30000</v>
      </c>
      <c r="D141" s="10">
        <v>5.3571</v>
      </c>
      <c r="E141" s="10">
        <v>160713</v>
      </c>
      <c r="F141" t="s">
        <v>76</v>
      </c>
    </row>
    <row r="142" spans="1:6" x14ac:dyDescent="0.3">
      <c r="A142" s="2">
        <v>45627</v>
      </c>
      <c r="B142" t="s">
        <v>16</v>
      </c>
      <c r="C142">
        <v>0</v>
      </c>
      <c r="D142" s="10">
        <v>5.3571</v>
      </c>
      <c r="E142" s="10">
        <v>0</v>
      </c>
      <c r="F142" t="s">
        <v>76</v>
      </c>
    </row>
    <row r="143" spans="1:6" x14ac:dyDescent="0.3">
      <c r="A143" s="2">
        <v>45658</v>
      </c>
      <c r="B143" t="s">
        <v>16</v>
      </c>
      <c r="C143">
        <v>0</v>
      </c>
      <c r="D143" s="10">
        <v>5.3571</v>
      </c>
      <c r="E143" s="10">
        <v>0</v>
      </c>
      <c r="F143" t="s">
        <v>76</v>
      </c>
    </row>
    <row r="144" spans="1:6" x14ac:dyDescent="0.3">
      <c r="A144" s="2">
        <v>45689</v>
      </c>
      <c r="B144" t="s">
        <v>16</v>
      </c>
      <c r="C144">
        <v>0</v>
      </c>
      <c r="D144" s="10">
        <v>5.3571</v>
      </c>
      <c r="E144" s="10">
        <v>0</v>
      </c>
      <c r="F144" t="s">
        <v>76</v>
      </c>
    </row>
    <row r="145" spans="1:6" x14ac:dyDescent="0.3">
      <c r="A145" s="2">
        <v>45717</v>
      </c>
      <c r="B145" t="s">
        <v>16</v>
      </c>
      <c r="C145">
        <v>0</v>
      </c>
      <c r="D145" s="10">
        <v>5.3571</v>
      </c>
      <c r="E145" s="10">
        <v>0</v>
      </c>
      <c r="F145" t="s">
        <v>76</v>
      </c>
    </row>
    <row r="146" spans="1:6" x14ac:dyDescent="0.3">
      <c r="A146" s="2">
        <v>45383</v>
      </c>
      <c r="B146" t="s">
        <v>17</v>
      </c>
      <c r="C146">
        <v>2400</v>
      </c>
      <c r="D146" s="10">
        <v>3</v>
      </c>
      <c r="E146" s="10">
        <v>7200</v>
      </c>
      <c r="F146" t="s">
        <v>76</v>
      </c>
    </row>
    <row r="147" spans="1:6" x14ac:dyDescent="0.3">
      <c r="A147" s="2">
        <v>45413</v>
      </c>
      <c r="B147" t="s">
        <v>17</v>
      </c>
      <c r="C147">
        <v>14400</v>
      </c>
      <c r="D147" s="10">
        <v>3</v>
      </c>
      <c r="E147" s="10">
        <v>43200</v>
      </c>
      <c r="F147" t="s">
        <v>76</v>
      </c>
    </row>
    <row r="148" spans="1:6" x14ac:dyDescent="0.3">
      <c r="A148" s="2">
        <v>45444</v>
      </c>
      <c r="B148" t="s">
        <v>17</v>
      </c>
      <c r="C148">
        <v>19200</v>
      </c>
      <c r="D148" s="10">
        <v>3</v>
      </c>
      <c r="E148" s="10">
        <v>57600</v>
      </c>
      <c r="F148" t="s">
        <v>76</v>
      </c>
    </row>
    <row r="149" spans="1:6" x14ac:dyDescent="0.3">
      <c r="A149" s="2">
        <v>45474</v>
      </c>
      <c r="B149" t="s">
        <v>17</v>
      </c>
      <c r="C149">
        <v>24000</v>
      </c>
      <c r="D149" s="10">
        <v>3</v>
      </c>
      <c r="E149" s="10">
        <v>72000</v>
      </c>
      <c r="F149" t="s">
        <v>76</v>
      </c>
    </row>
    <row r="150" spans="1:6" x14ac:dyDescent="0.3">
      <c r="A150" s="2">
        <v>45505</v>
      </c>
      <c r="B150" t="s">
        <v>17</v>
      </c>
      <c r="C150">
        <v>21600</v>
      </c>
      <c r="D150" s="10">
        <v>3</v>
      </c>
      <c r="E150" s="10">
        <v>64800</v>
      </c>
      <c r="F150" t="s">
        <v>76</v>
      </c>
    </row>
    <row r="151" spans="1:6" x14ac:dyDescent="0.3">
      <c r="A151" s="2">
        <v>45536</v>
      </c>
      <c r="B151" t="s">
        <v>17</v>
      </c>
      <c r="C151">
        <v>0</v>
      </c>
      <c r="D151" s="10">
        <v>3</v>
      </c>
      <c r="E151" s="10">
        <v>0</v>
      </c>
      <c r="F151" t="s">
        <v>76</v>
      </c>
    </row>
    <row r="152" spans="1:6" x14ac:dyDescent="0.3">
      <c r="A152" s="2">
        <v>45566</v>
      </c>
      <c r="B152" t="s">
        <v>17</v>
      </c>
      <c r="C152">
        <v>7296</v>
      </c>
      <c r="D152" s="10">
        <v>7.0921052631578947</v>
      </c>
      <c r="E152" s="10">
        <v>51744</v>
      </c>
      <c r="F152" t="s">
        <v>76</v>
      </c>
    </row>
    <row r="153" spans="1:6" x14ac:dyDescent="0.3">
      <c r="A153" s="2">
        <v>45597</v>
      </c>
      <c r="B153" t="s">
        <v>17</v>
      </c>
      <c r="C153">
        <v>12000</v>
      </c>
      <c r="D153" s="10">
        <v>3.18</v>
      </c>
      <c r="E153" s="10">
        <v>38160</v>
      </c>
      <c r="F153" t="s">
        <v>76</v>
      </c>
    </row>
    <row r="154" spans="1:6" x14ac:dyDescent="0.3">
      <c r="A154" s="2">
        <v>45627</v>
      </c>
      <c r="B154" t="s">
        <v>17</v>
      </c>
      <c r="C154">
        <v>0</v>
      </c>
      <c r="D154" s="10">
        <v>3.18</v>
      </c>
      <c r="E154" s="10">
        <v>0</v>
      </c>
      <c r="F154" t="s">
        <v>76</v>
      </c>
    </row>
    <row r="155" spans="1:6" x14ac:dyDescent="0.3">
      <c r="A155" s="2">
        <v>45658</v>
      </c>
      <c r="B155" t="s">
        <v>17</v>
      </c>
      <c r="C155">
        <v>45100</v>
      </c>
      <c r="D155" s="10">
        <v>3.1808425720620841</v>
      </c>
      <c r="E155" s="10">
        <v>143456</v>
      </c>
      <c r="F155" t="s">
        <v>76</v>
      </c>
    </row>
    <row r="156" spans="1:6" x14ac:dyDescent="0.3">
      <c r="A156" s="2">
        <v>45689</v>
      </c>
      <c r="B156" t="s">
        <v>17</v>
      </c>
      <c r="C156">
        <v>0</v>
      </c>
      <c r="D156" s="10">
        <v>3.1808425720620841</v>
      </c>
      <c r="E156" s="10">
        <v>0</v>
      </c>
      <c r="F156" t="s">
        <v>76</v>
      </c>
    </row>
    <row r="157" spans="1:6" x14ac:dyDescent="0.3">
      <c r="A157" s="2">
        <v>45717</v>
      </c>
      <c r="B157" t="s">
        <v>17</v>
      </c>
      <c r="C157">
        <v>0</v>
      </c>
      <c r="D157" s="10">
        <v>3.1808425720620841</v>
      </c>
      <c r="E157" s="10">
        <v>0</v>
      </c>
      <c r="F157" t="s">
        <v>76</v>
      </c>
    </row>
    <row r="158" spans="1:6" x14ac:dyDescent="0.3">
      <c r="A158" s="2">
        <v>45383</v>
      </c>
      <c r="B158" t="s">
        <v>18</v>
      </c>
      <c r="C158">
        <v>60</v>
      </c>
      <c r="D158" s="10">
        <v>700.66</v>
      </c>
      <c r="E158" s="10">
        <v>42039.6</v>
      </c>
      <c r="F158" t="s">
        <v>75</v>
      </c>
    </row>
    <row r="159" spans="1:6" x14ac:dyDescent="0.3">
      <c r="A159" s="2">
        <v>45413</v>
      </c>
      <c r="B159" t="s">
        <v>18</v>
      </c>
      <c r="C159">
        <v>174</v>
      </c>
      <c r="D159" s="10">
        <v>940.33241379310346</v>
      </c>
      <c r="E159" s="10">
        <v>163617.84</v>
      </c>
      <c r="F159" t="s">
        <v>75</v>
      </c>
    </row>
    <row r="160" spans="1:6" x14ac:dyDescent="0.3">
      <c r="A160" s="2">
        <v>45444</v>
      </c>
      <c r="B160" t="s">
        <v>18</v>
      </c>
      <c r="C160">
        <v>96</v>
      </c>
      <c r="D160" s="10">
        <v>1004.64125</v>
      </c>
      <c r="E160" s="10">
        <v>96445.56</v>
      </c>
      <c r="F160" t="s">
        <v>75</v>
      </c>
    </row>
    <row r="161" spans="1:6" x14ac:dyDescent="0.3">
      <c r="A161" s="2">
        <v>45474</v>
      </c>
      <c r="B161" t="s">
        <v>18</v>
      </c>
      <c r="C161">
        <v>0</v>
      </c>
      <c r="D161" s="10">
        <v>1004.64125</v>
      </c>
      <c r="E161" s="10">
        <v>0</v>
      </c>
      <c r="F161" t="s">
        <v>75</v>
      </c>
    </row>
    <row r="162" spans="1:6" x14ac:dyDescent="0.3">
      <c r="A162" s="2">
        <v>45505</v>
      </c>
      <c r="B162" t="s">
        <v>18</v>
      </c>
      <c r="C162">
        <v>0</v>
      </c>
      <c r="D162" s="10">
        <v>1004.64125</v>
      </c>
      <c r="E162" s="10">
        <v>0</v>
      </c>
      <c r="F162" t="s">
        <v>75</v>
      </c>
    </row>
    <row r="163" spans="1:6" x14ac:dyDescent="0.3">
      <c r="A163" s="2">
        <v>45536</v>
      </c>
      <c r="B163" t="s">
        <v>18</v>
      </c>
      <c r="C163">
        <v>70</v>
      </c>
      <c r="D163" s="10">
        <v>803.42285714285708</v>
      </c>
      <c r="E163" s="10">
        <v>56239.6</v>
      </c>
      <c r="F163" t="s">
        <v>75</v>
      </c>
    </row>
    <row r="164" spans="1:6" x14ac:dyDescent="0.3">
      <c r="A164" s="2">
        <v>45566</v>
      </c>
      <c r="B164" t="s">
        <v>18</v>
      </c>
      <c r="C164">
        <v>65</v>
      </c>
      <c r="D164" s="10">
        <v>815.4861538461538</v>
      </c>
      <c r="E164" s="10">
        <v>53006.6</v>
      </c>
      <c r="F164" t="s">
        <v>75</v>
      </c>
    </row>
    <row r="165" spans="1:6" x14ac:dyDescent="0.3">
      <c r="A165" s="2">
        <v>45597</v>
      </c>
      <c r="B165" t="s">
        <v>18</v>
      </c>
      <c r="C165">
        <v>18</v>
      </c>
      <c r="D165" s="10">
        <v>1410</v>
      </c>
      <c r="E165" s="10">
        <v>25380</v>
      </c>
      <c r="F165" t="s">
        <v>75</v>
      </c>
    </row>
    <row r="166" spans="1:6" x14ac:dyDescent="0.3">
      <c r="A166" s="2">
        <v>45627</v>
      </c>
      <c r="B166" t="s">
        <v>18</v>
      </c>
      <c r="C166">
        <v>65</v>
      </c>
      <c r="D166" s="10">
        <v>804.42630769230766</v>
      </c>
      <c r="E166" s="10">
        <v>52287.71</v>
      </c>
      <c r="F166" t="s">
        <v>75</v>
      </c>
    </row>
    <row r="167" spans="1:6" x14ac:dyDescent="0.3">
      <c r="A167" s="2">
        <v>45658</v>
      </c>
      <c r="B167" t="s">
        <v>18</v>
      </c>
      <c r="C167">
        <v>10</v>
      </c>
      <c r="D167" s="10">
        <v>1106</v>
      </c>
      <c r="E167" s="10">
        <v>11060</v>
      </c>
      <c r="F167" t="s">
        <v>75</v>
      </c>
    </row>
    <row r="168" spans="1:6" x14ac:dyDescent="0.3">
      <c r="A168" s="2">
        <v>45689</v>
      </c>
      <c r="B168" t="s">
        <v>18</v>
      </c>
      <c r="C168">
        <v>60</v>
      </c>
      <c r="D168" s="10">
        <v>765.11</v>
      </c>
      <c r="E168" s="10">
        <v>45906.6</v>
      </c>
      <c r="F168" t="s">
        <v>75</v>
      </c>
    </row>
    <row r="169" spans="1:6" x14ac:dyDescent="0.3">
      <c r="A169" s="2">
        <v>45717</v>
      </c>
      <c r="B169" t="s">
        <v>18</v>
      </c>
      <c r="C169">
        <v>0</v>
      </c>
      <c r="D169" s="10">
        <v>765.11</v>
      </c>
      <c r="E169" s="10">
        <v>0</v>
      </c>
      <c r="F169" t="s">
        <v>75</v>
      </c>
    </row>
    <row r="170" spans="1:6" x14ac:dyDescent="0.3">
      <c r="A170" s="2">
        <v>45383</v>
      </c>
      <c r="B170" t="s">
        <v>19</v>
      </c>
      <c r="C170">
        <v>1245</v>
      </c>
      <c r="D170" s="10">
        <v>64.573493975903617</v>
      </c>
      <c r="E170" s="10">
        <v>80394</v>
      </c>
      <c r="F170" t="s">
        <v>76</v>
      </c>
    </row>
    <row r="171" spans="1:6" x14ac:dyDescent="0.3">
      <c r="A171" s="2">
        <v>45413</v>
      </c>
      <c r="B171" t="s">
        <v>19</v>
      </c>
      <c r="C171">
        <v>960</v>
      </c>
      <c r="D171" s="10">
        <v>64</v>
      </c>
      <c r="E171" s="10">
        <v>61440</v>
      </c>
      <c r="F171" t="s">
        <v>76</v>
      </c>
    </row>
    <row r="172" spans="1:6" x14ac:dyDescent="0.3">
      <c r="A172" s="2">
        <v>45444</v>
      </c>
      <c r="B172" t="s">
        <v>19</v>
      </c>
      <c r="C172">
        <v>1080</v>
      </c>
      <c r="D172" s="10">
        <v>71.126666666666665</v>
      </c>
      <c r="E172" s="10">
        <v>76816.800000000003</v>
      </c>
      <c r="F172" t="s">
        <v>76</v>
      </c>
    </row>
    <row r="173" spans="1:6" x14ac:dyDescent="0.3">
      <c r="A173" s="2">
        <v>45474</v>
      </c>
      <c r="B173" t="s">
        <v>19</v>
      </c>
      <c r="C173">
        <v>0</v>
      </c>
      <c r="D173" s="10">
        <v>71.126666666666665</v>
      </c>
      <c r="E173" s="10">
        <v>0</v>
      </c>
      <c r="F173" t="s">
        <v>76</v>
      </c>
    </row>
    <row r="174" spans="1:6" x14ac:dyDescent="0.3">
      <c r="A174" s="2">
        <v>45505</v>
      </c>
      <c r="B174" t="s">
        <v>19</v>
      </c>
      <c r="C174">
        <v>0</v>
      </c>
      <c r="D174" s="10">
        <v>71.126666666666665</v>
      </c>
      <c r="E174" s="10">
        <v>0</v>
      </c>
      <c r="F174" t="s">
        <v>76</v>
      </c>
    </row>
    <row r="175" spans="1:6" x14ac:dyDescent="0.3">
      <c r="A175" s="2">
        <v>45536</v>
      </c>
      <c r="B175" t="s">
        <v>19</v>
      </c>
      <c r="C175">
        <v>120</v>
      </c>
      <c r="D175" s="10">
        <v>143.5</v>
      </c>
      <c r="E175" s="10">
        <v>17220</v>
      </c>
      <c r="F175" t="s">
        <v>76</v>
      </c>
    </row>
    <row r="176" spans="1:6" x14ac:dyDescent="0.3">
      <c r="A176" s="2">
        <v>45566</v>
      </c>
      <c r="B176" t="s">
        <v>19</v>
      </c>
      <c r="C176">
        <v>10</v>
      </c>
      <c r="D176" s="10">
        <v>85</v>
      </c>
      <c r="E176" s="10">
        <v>850</v>
      </c>
      <c r="F176" t="s">
        <v>76</v>
      </c>
    </row>
    <row r="177" spans="1:6" x14ac:dyDescent="0.3">
      <c r="A177" s="2">
        <v>45597</v>
      </c>
      <c r="B177" t="s">
        <v>19</v>
      </c>
      <c r="C177">
        <v>0</v>
      </c>
      <c r="D177" s="10">
        <v>85</v>
      </c>
      <c r="E177" s="10">
        <v>0</v>
      </c>
      <c r="F177" t="s">
        <v>76</v>
      </c>
    </row>
    <row r="178" spans="1:6" x14ac:dyDescent="0.3">
      <c r="A178" s="2">
        <v>45627</v>
      </c>
      <c r="B178" t="s">
        <v>19</v>
      </c>
      <c r="C178">
        <v>2340</v>
      </c>
      <c r="D178" s="10">
        <v>65.333333333333329</v>
      </c>
      <c r="E178" s="10">
        <v>152880</v>
      </c>
      <c r="F178" t="s">
        <v>76</v>
      </c>
    </row>
    <row r="179" spans="1:6" x14ac:dyDescent="0.3">
      <c r="A179" s="2">
        <v>45658</v>
      </c>
      <c r="B179" t="s">
        <v>19</v>
      </c>
      <c r="C179">
        <v>0</v>
      </c>
      <c r="D179" s="10">
        <v>65.333333333333329</v>
      </c>
      <c r="E179" s="10">
        <v>0</v>
      </c>
      <c r="F179" t="s">
        <v>76</v>
      </c>
    </row>
    <row r="180" spans="1:6" x14ac:dyDescent="0.3">
      <c r="A180" s="2">
        <v>45689</v>
      </c>
      <c r="B180" t="s">
        <v>19</v>
      </c>
      <c r="C180">
        <v>420</v>
      </c>
      <c r="D180" s="10">
        <v>106.2428571428571</v>
      </c>
      <c r="E180" s="10">
        <v>44622</v>
      </c>
      <c r="F180" t="s">
        <v>76</v>
      </c>
    </row>
    <row r="181" spans="1:6" x14ac:dyDescent="0.3">
      <c r="A181" s="2">
        <v>45717</v>
      </c>
      <c r="B181" t="s">
        <v>19</v>
      </c>
      <c r="C181">
        <v>0</v>
      </c>
      <c r="D181" s="10">
        <v>106.2428571428571</v>
      </c>
      <c r="E181" s="10">
        <v>0</v>
      </c>
      <c r="F181" t="s">
        <v>76</v>
      </c>
    </row>
    <row r="182" spans="1:6" x14ac:dyDescent="0.3">
      <c r="A182" s="2">
        <v>45383</v>
      </c>
      <c r="B182" t="s">
        <v>20</v>
      </c>
      <c r="C182">
        <v>4500</v>
      </c>
      <c r="D182" s="10">
        <v>13.5</v>
      </c>
      <c r="E182" s="10">
        <v>60750</v>
      </c>
      <c r="F182" t="s">
        <v>75</v>
      </c>
    </row>
    <row r="183" spans="1:6" x14ac:dyDescent="0.3">
      <c r="A183" s="2">
        <v>45413</v>
      </c>
      <c r="B183" t="s">
        <v>20</v>
      </c>
      <c r="C183">
        <v>4000</v>
      </c>
      <c r="D183" s="10">
        <v>13.5</v>
      </c>
      <c r="E183" s="10">
        <v>54000</v>
      </c>
      <c r="F183" t="s">
        <v>75</v>
      </c>
    </row>
    <row r="184" spans="1:6" x14ac:dyDescent="0.3">
      <c r="A184" s="2">
        <v>45444</v>
      </c>
      <c r="B184" t="s">
        <v>20</v>
      </c>
      <c r="C184">
        <v>8000</v>
      </c>
      <c r="D184" s="10">
        <v>13.5</v>
      </c>
      <c r="E184" s="10">
        <v>108000</v>
      </c>
      <c r="F184" t="s">
        <v>75</v>
      </c>
    </row>
    <row r="185" spans="1:6" x14ac:dyDescent="0.3">
      <c r="A185" s="2">
        <v>45474</v>
      </c>
      <c r="B185" t="s">
        <v>20</v>
      </c>
      <c r="C185">
        <v>0</v>
      </c>
      <c r="D185" s="10">
        <v>13.5</v>
      </c>
      <c r="E185" s="10">
        <v>0</v>
      </c>
      <c r="F185" t="s">
        <v>75</v>
      </c>
    </row>
    <row r="186" spans="1:6" x14ac:dyDescent="0.3">
      <c r="A186" s="2">
        <v>45505</v>
      </c>
      <c r="B186" t="s">
        <v>20</v>
      </c>
      <c r="C186">
        <v>0</v>
      </c>
      <c r="D186" s="10">
        <v>13.5</v>
      </c>
      <c r="E186" s="10">
        <v>0</v>
      </c>
      <c r="F186" t="s">
        <v>75</v>
      </c>
    </row>
    <row r="187" spans="1:6" x14ac:dyDescent="0.3">
      <c r="A187" s="2">
        <v>45536</v>
      </c>
      <c r="B187" t="s">
        <v>20</v>
      </c>
      <c r="C187">
        <v>0</v>
      </c>
      <c r="D187" s="10">
        <v>13.5</v>
      </c>
      <c r="E187" s="10">
        <v>0</v>
      </c>
      <c r="F187" t="s">
        <v>75</v>
      </c>
    </row>
    <row r="188" spans="1:6" x14ac:dyDescent="0.3">
      <c r="A188" s="2">
        <v>45566</v>
      </c>
      <c r="B188" t="s">
        <v>20</v>
      </c>
      <c r="C188">
        <v>0</v>
      </c>
      <c r="D188" s="10">
        <v>13.5</v>
      </c>
      <c r="E188" s="10">
        <v>0</v>
      </c>
      <c r="F188" t="s">
        <v>75</v>
      </c>
    </row>
    <row r="189" spans="1:6" x14ac:dyDescent="0.3">
      <c r="A189" s="2">
        <v>45597</v>
      </c>
      <c r="B189" t="s">
        <v>20</v>
      </c>
      <c r="C189">
        <v>0</v>
      </c>
      <c r="D189" s="10">
        <v>13.5</v>
      </c>
      <c r="E189" s="10">
        <v>0</v>
      </c>
      <c r="F189" t="s">
        <v>75</v>
      </c>
    </row>
    <row r="190" spans="1:6" x14ac:dyDescent="0.3">
      <c r="A190" s="2">
        <v>45627</v>
      </c>
      <c r="B190" t="s">
        <v>20</v>
      </c>
      <c r="C190">
        <v>4000</v>
      </c>
      <c r="D190" s="10">
        <v>14.61125</v>
      </c>
      <c r="E190" s="10">
        <v>58445</v>
      </c>
      <c r="F190" t="s">
        <v>75</v>
      </c>
    </row>
    <row r="191" spans="1:6" x14ac:dyDescent="0.3">
      <c r="A191" s="2">
        <v>45658</v>
      </c>
      <c r="B191" t="s">
        <v>20</v>
      </c>
      <c r="C191">
        <v>0</v>
      </c>
      <c r="D191" s="10">
        <v>14.61125</v>
      </c>
      <c r="E191" s="10">
        <v>0</v>
      </c>
      <c r="F191" t="s">
        <v>75</v>
      </c>
    </row>
    <row r="192" spans="1:6" x14ac:dyDescent="0.3">
      <c r="A192" s="2">
        <v>45689</v>
      </c>
      <c r="B192" t="s">
        <v>20</v>
      </c>
      <c r="C192">
        <v>6275</v>
      </c>
      <c r="D192" s="10">
        <v>12.04621513944223</v>
      </c>
      <c r="E192" s="10">
        <v>75590</v>
      </c>
      <c r="F192" t="s">
        <v>75</v>
      </c>
    </row>
    <row r="193" spans="1:6" x14ac:dyDescent="0.3">
      <c r="A193" s="2">
        <v>45717</v>
      </c>
      <c r="B193" t="s">
        <v>20</v>
      </c>
      <c r="C193">
        <v>5000</v>
      </c>
      <c r="D193" s="10">
        <v>14.2</v>
      </c>
      <c r="E193" s="10">
        <v>71000</v>
      </c>
      <c r="F193" t="s">
        <v>75</v>
      </c>
    </row>
    <row r="194" spans="1:6" x14ac:dyDescent="0.3">
      <c r="A194" s="2">
        <v>45383</v>
      </c>
      <c r="B194" t="s">
        <v>21</v>
      </c>
      <c r="C194">
        <v>0</v>
      </c>
      <c r="D194" s="10">
        <v>1051</v>
      </c>
      <c r="E194" s="10">
        <v>0</v>
      </c>
      <c r="F194" t="s">
        <v>76</v>
      </c>
    </row>
    <row r="195" spans="1:6" x14ac:dyDescent="0.3">
      <c r="A195" s="2">
        <v>45413</v>
      </c>
      <c r="B195" t="s">
        <v>21</v>
      </c>
      <c r="C195">
        <v>0</v>
      </c>
      <c r="D195" s="10">
        <v>1051</v>
      </c>
      <c r="E195" s="10">
        <v>0</v>
      </c>
      <c r="F195" t="s">
        <v>76</v>
      </c>
    </row>
    <row r="196" spans="1:6" x14ac:dyDescent="0.3">
      <c r="A196" s="2">
        <v>45444</v>
      </c>
      <c r="B196" t="s">
        <v>21</v>
      </c>
      <c r="C196">
        <v>160</v>
      </c>
      <c r="D196" s="10">
        <v>1060</v>
      </c>
      <c r="E196" s="10">
        <v>169600</v>
      </c>
      <c r="F196" t="s">
        <v>76</v>
      </c>
    </row>
    <row r="197" spans="1:6" x14ac:dyDescent="0.3">
      <c r="A197" s="2">
        <v>45474</v>
      </c>
      <c r="B197" t="s">
        <v>21</v>
      </c>
      <c r="C197">
        <v>0</v>
      </c>
      <c r="D197" s="10">
        <v>1060</v>
      </c>
      <c r="E197" s="10">
        <v>0</v>
      </c>
      <c r="F197" t="s">
        <v>76</v>
      </c>
    </row>
    <row r="198" spans="1:6" x14ac:dyDescent="0.3">
      <c r="A198" s="2">
        <v>45505</v>
      </c>
      <c r="B198" t="s">
        <v>21</v>
      </c>
      <c r="C198">
        <v>0</v>
      </c>
      <c r="D198" s="10">
        <v>1060</v>
      </c>
      <c r="E198" s="10">
        <v>0</v>
      </c>
      <c r="F198" t="s">
        <v>76</v>
      </c>
    </row>
    <row r="199" spans="1:6" x14ac:dyDescent="0.3">
      <c r="A199" s="2">
        <v>45536</v>
      </c>
      <c r="B199" t="s">
        <v>21</v>
      </c>
      <c r="C199">
        <v>0</v>
      </c>
      <c r="D199" s="10">
        <v>1060</v>
      </c>
      <c r="E199" s="10">
        <v>0</v>
      </c>
      <c r="F199" t="s">
        <v>76</v>
      </c>
    </row>
    <row r="200" spans="1:6" x14ac:dyDescent="0.3">
      <c r="A200" s="2">
        <v>45566</v>
      </c>
      <c r="B200" t="s">
        <v>21</v>
      </c>
      <c r="C200">
        <v>240</v>
      </c>
      <c r="D200" s="10">
        <v>1060</v>
      </c>
      <c r="E200" s="10">
        <v>254400</v>
      </c>
      <c r="F200" t="s">
        <v>76</v>
      </c>
    </row>
    <row r="201" spans="1:6" x14ac:dyDescent="0.3">
      <c r="A201" s="2">
        <v>45597</v>
      </c>
      <c r="B201" t="s">
        <v>21</v>
      </c>
      <c r="C201">
        <v>0</v>
      </c>
      <c r="D201" s="10">
        <v>1060</v>
      </c>
      <c r="E201" s="10">
        <v>0</v>
      </c>
      <c r="F201" t="s">
        <v>76</v>
      </c>
    </row>
    <row r="202" spans="1:6" x14ac:dyDescent="0.3">
      <c r="A202" s="2">
        <v>45627</v>
      </c>
      <c r="B202" t="s">
        <v>21</v>
      </c>
      <c r="C202">
        <v>0</v>
      </c>
      <c r="D202" s="10">
        <v>1060</v>
      </c>
      <c r="E202" s="10">
        <v>0</v>
      </c>
      <c r="F202" t="s">
        <v>76</v>
      </c>
    </row>
    <row r="203" spans="1:6" x14ac:dyDescent="0.3">
      <c r="A203" s="2">
        <v>45658</v>
      </c>
      <c r="B203" t="s">
        <v>21</v>
      </c>
      <c r="C203">
        <v>0</v>
      </c>
      <c r="D203" s="10">
        <v>1060</v>
      </c>
      <c r="E203" s="10">
        <v>0</v>
      </c>
      <c r="F203" t="s">
        <v>76</v>
      </c>
    </row>
    <row r="204" spans="1:6" x14ac:dyDescent="0.3">
      <c r="A204" s="2">
        <v>45689</v>
      </c>
      <c r="B204" t="s">
        <v>21</v>
      </c>
      <c r="C204">
        <v>0</v>
      </c>
      <c r="D204" s="10">
        <v>1060</v>
      </c>
      <c r="E204" s="10">
        <v>0</v>
      </c>
      <c r="F204" t="s">
        <v>76</v>
      </c>
    </row>
    <row r="205" spans="1:6" x14ac:dyDescent="0.3">
      <c r="A205" s="2">
        <v>45717</v>
      </c>
      <c r="B205" t="s">
        <v>21</v>
      </c>
      <c r="C205">
        <v>0</v>
      </c>
      <c r="D205" s="10">
        <v>1060</v>
      </c>
      <c r="E205" s="10">
        <v>0</v>
      </c>
      <c r="F205" t="s">
        <v>76</v>
      </c>
    </row>
    <row r="206" spans="1:6" x14ac:dyDescent="0.3">
      <c r="A206" s="2">
        <v>45383</v>
      </c>
      <c r="B206" t="s">
        <v>22</v>
      </c>
      <c r="C206">
        <v>1</v>
      </c>
      <c r="D206" s="10">
        <v>22000</v>
      </c>
      <c r="E206" s="10">
        <v>22000</v>
      </c>
      <c r="F206" t="s">
        <v>76</v>
      </c>
    </row>
    <row r="207" spans="1:6" x14ac:dyDescent="0.3">
      <c r="A207" s="2">
        <v>45413</v>
      </c>
      <c r="B207" t="s">
        <v>22</v>
      </c>
      <c r="C207">
        <v>1</v>
      </c>
      <c r="D207" s="10">
        <v>21000</v>
      </c>
      <c r="E207" s="10">
        <v>21000</v>
      </c>
      <c r="F207" t="s">
        <v>76</v>
      </c>
    </row>
    <row r="208" spans="1:6" x14ac:dyDescent="0.3">
      <c r="A208" s="2">
        <v>45444</v>
      </c>
      <c r="B208" t="s">
        <v>22</v>
      </c>
      <c r="C208">
        <v>0</v>
      </c>
      <c r="D208" s="10">
        <v>21000</v>
      </c>
      <c r="E208" s="10">
        <v>0</v>
      </c>
      <c r="F208" t="s">
        <v>76</v>
      </c>
    </row>
    <row r="209" spans="1:6" x14ac:dyDescent="0.3">
      <c r="A209" s="2">
        <v>45474</v>
      </c>
      <c r="B209" t="s">
        <v>22</v>
      </c>
      <c r="C209">
        <v>3</v>
      </c>
      <c r="D209" s="10">
        <v>21000</v>
      </c>
      <c r="E209" s="10">
        <v>63000</v>
      </c>
      <c r="F209" t="s">
        <v>76</v>
      </c>
    </row>
    <row r="210" spans="1:6" x14ac:dyDescent="0.3">
      <c r="A210" s="2">
        <v>45505</v>
      </c>
      <c r="B210" t="s">
        <v>22</v>
      </c>
      <c r="C210">
        <v>3</v>
      </c>
      <c r="D210" s="10">
        <v>21000</v>
      </c>
      <c r="E210" s="10">
        <v>63000</v>
      </c>
      <c r="F210" t="s">
        <v>76</v>
      </c>
    </row>
    <row r="211" spans="1:6" x14ac:dyDescent="0.3">
      <c r="A211" s="2">
        <v>45536</v>
      </c>
      <c r="B211" t="s">
        <v>22</v>
      </c>
      <c r="C211">
        <v>1</v>
      </c>
      <c r="D211" s="10">
        <v>21000</v>
      </c>
      <c r="E211" s="10">
        <v>21000</v>
      </c>
      <c r="F211" t="s">
        <v>76</v>
      </c>
    </row>
    <row r="212" spans="1:6" x14ac:dyDescent="0.3">
      <c r="A212" s="2">
        <v>45566</v>
      </c>
      <c r="B212" t="s">
        <v>22</v>
      </c>
      <c r="C212">
        <v>0</v>
      </c>
      <c r="D212" s="10">
        <v>21000</v>
      </c>
      <c r="E212" s="10">
        <v>0</v>
      </c>
      <c r="F212" t="s">
        <v>76</v>
      </c>
    </row>
    <row r="213" spans="1:6" x14ac:dyDescent="0.3">
      <c r="A213" s="2">
        <v>45597</v>
      </c>
      <c r="B213" t="s">
        <v>22</v>
      </c>
      <c r="C213">
        <v>0</v>
      </c>
      <c r="D213" s="10">
        <v>21000</v>
      </c>
      <c r="E213" s="10">
        <v>0</v>
      </c>
      <c r="F213" t="s">
        <v>76</v>
      </c>
    </row>
    <row r="214" spans="1:6" x14ac:dyDescent="0.3">
      <c r="A214" s="2">
        <v>45627</v>
      </c>
      <c r="B214" t="s">
        <v>22</v>
      </c>
      <c r="C214">
        <v>2</v>
      </c>
      <c r="D214" s="10">
        <v>21000</v>
      </c>
      <c r="E214" s="10">
        <v>42000</v>
      </c>
      <c r="F214" t="s">
        <v>76</v>
      </c>
    </row>
    <row r="215" spans="1:6" x14ac:dyDescent="0.3">
      <c r="A215" s="2">
        <v>45658</v>
      </c>
      <c r="B215" t="s">
        <v>22</v>
      </c>
      <c r="C215">
        <v>5</v>
      </c>
      <c r="D215" s="10">
        <v>21000</v>
      </c>
      <c r="E215" s="10">
        <v>105000</v>
      </c>
      <c r="F215" t="s">
        <v>76</v>
      </c>
    </row>
    <row r="216" spans="1:6" x14ac:dyDescent="0.3">
      <c r="A216" s="2">
        <v>45689</v>
      </c>
      <c r="B216" t="s">
        <v>22</v>
      </c>
      <c r="C216">
        <v>2</v>
      </c>
      <c r="D216" s="10">
        <v>20536</v>
      </c>
      <c r="E216" s="10">
        <v>41072</v>
      </c>
      <c r="F216" t="s">
        <v>76</v>
      </c>
    </row>
    <row r="217" spans="1:6" x14ac:dyDescent="0.3">
      <c r="A217" s="2">
        <v>45717</v>
      </c>
      <c r="B217" t="s">
        <v>22</v>
      </c>
      <c r="C217">
        <v>2</v>
      </c>
      <c r="D217" s="10">
        <v>20536</v>
      </c>
      <c r="E217" s="10">
        <v>41072</v>
      </c>
      <c r="F217" t="s">
        <v>76</v>
      </c>
    </row>
    <row r="218" spans="1:6" x14ac:dyDescent="0.3">
      <c r="A218" s="2">
        <v>45383</v>
      </c>
      <c r="B218" t="s">
        <v>23</v>
      </c>
      <c r="C218">
        <v>0</v>
      </c>
      <c r="D218" s="10">
        <v>81</v>
      </c>
      <c r="E218" s="10">
        <v>0</v>
      </c>
      <c r="F218" t="s">
        <v>76</v>
      </c>
    </row>
    <row r="219" spans="1:6" x14ac:dyDescent="0.3">
      <c r="A219" s="2">
        <v>45413</v>
      </c>
      <c r="B219" t="s">
        <v>23</v>
      </c>
      <c r="C219">
        <v>0</v>
      </c>
      <c r="D219" s="10">
        <v>81</v>
      </c>
      <c r="E219" s="10">
        <v>0</v>
      </c>
      <c r="F219" t="s">
        <v>76</v>
      </c>
    </row>
    <row r="220" spans="1:6" x14ac:dyDescent="0.3">
      <c r="A220" s="2">
        <v>45444</v>
      </c>
      <c r="B220" t="s">
        <v>23</v>
      </c>
      <c r="C220">
        <v>0</v>
      </c>
      <c r="D220" s="10">
        <v>81</v>
      </c>
      <c r="E220" s="10">
        <v>0</v>
      </c>
      <c r="F220" t="s">
        <v>76</v>
      </c>
    </row>
    <row r="221" spans="1:6" x14ac:dyDescent="0.3">
      <c r="A221" s="2">
        <v>45474</v>
      </c>
      <c r="B221" t="s">
        <v>23</v>
      </c>
      <c r="C221">
        <v>0</v>
      </c>
      <c r="D221" s="10">
        <v>81</v>
      </c>
      <c r="E221" s="10">
        <v>0</v>
      </c>
      <c r="F221" t="s">
        <v>76</v>
      </c>
    </row>
    <row r="222" spans="1:6" x14ac:dyDescent="0.3">
      <c r="A222" s="2">
        <v>45505</v>
      </c>
      <c r="B222" t="s">
        <v>23</v>
      </c>
      <c r="C222">
        <v>0</v>
      </c>
      <c r="D222" s="10">
        <v>81</v>
      </c>
      <c r="E222" s="10">
        <v>0</v>
      </c>
      <c r="F222" t="s">
        <v>76</v>
      </c>
    </row>
    <row r="223" spans="1:6" x14ac:dyDescent="0.3">
      <c r="A223" s="2">
        <v>45536</v>
      </c>
      <c r="B223" t="s">
        <v>23</v>
      </c>
      <c r="C223">
        <v>480</v>
      </c>
      <c r="D223" s="10">
        <v>81</v>
      </c>
      <c r="E223" s="10">
        <v>38880</v>
      </c>
      <c r="F223" t="s">
        <v>76</v>
      </c>
    </row>
    <row r="224" spans="1:6" x14ac:dyDescent="0.3">
      <c r="A224" s="2">
        <v>45566</v>
      </c>
      <c r="B224" t="s">
        <v>23</v>
      </c>
      <c r="C224">
        <v>0</v>
      </c>
      <c r="D224" s="10">
        <v>81</v>
      </c>
      <c r="E224" s="10">
        <v>0</v>
      </c>
      <c r="F224" t="s">
        <v>76</v>
      </c>
    </row>
    <row r="225" spans="1:6" x14ac:dyDescent="0.3">
      <c r="A225" s="2">
        <v>45597</v>
      </c>
      <c r="B225" t="s">
        <v>23</v>
      </c>
      <c r="C225">
        <v>0</v>
      </c>
      <c r="D225" s="10">
        <v>81</v>
      </c>
      <c r="E225" s="10">
        <v>0</v>
      </c>
      <c r="F225" t="s">
        <v>76</v>
      </c>
    </row>
    <row r="226" spans="1:6" x14ac:dyDescent="0.3">
      <c r="A226" s="2">
        <v>45627</v>
      </c>
      <c r="B226" t="s">
        <v>23</v>
      </c>
      <c r="C226">
        <v>0</v>
      </c>
      <c r="D226" s="10">
        <v>81</v>
      </c>
      <c r="E226" s="10">
        <v>0</v>
      </c>
      <c r="F226" t="s">
        <v>76</v>
      </c>
    </row>
    <row r="227" spans="1:6" x14ac:dyDescent="0.3">
      <c r="A227" s="2">
        <v>45658</v>
      </c>
      <c r="B227" t="s">
        <v>23</v>
      </c>
      <c r="C227">
        <v>0</v>
      </c>
      <c r="D227" s="10">
        <v>81</v>
      </c>
      <c r="E227" s="10">
        <v>0</v>
      </c>
      <c r="F227" t="s">
        <v>76</v>
      </c>
    </row>
    <row r="228" spans="1:6" x14ac:dyDescent="0.3">
      <c r="A228" s="2">
        <v>45689</v>
      </c>
      <c r="B228" t="s">
        <v>23</v>
      </c>
      <c r="C228">
        <v>31</v>
      </c>
      <c r="D228" s="10">
        <v>81</v>
      </c>
      <c r="E228" s="10">
        <v>2511</v>
      </c>
      <c r="F228" t="s">
        <v>76</v>
      </c>
    </row>
    <row r="229" spans="1:6" x14ac:dyDescent="0.3">
      <c r="A229" s="2">
        <v>45717</v>
      </c>
      <c r="B229" t="s">
        <v>23</v>
      </c>
      <c r="C229">
        <v>4800</v>
      </c>
      <c r="D229" s="10">
        <v>75</v>
      </c>
      <c r="E229" s="10">
        <v>360000</v>
      </c>
      <c r="F229" t="s">
        <v>76</v>
      </c>
    </row>
    <row r="230" spans="1:6" x14ac:dyDescent="0.3">
      <c r="A230" s="2">
        <v>45383</v>
      </c>
      <c r="B230" t="s">
        <v>24</v>
      </c>
      <c r="C230">
        <v>0</v>
      </c>
      <c r="D230" s="10">
        <v>960</v>
      </c>
      <c r="E230" s="10">
        <v>0</v>
      </c>
      <c r="F230" t="s">
        <v>76</v>
      </c>
    </row>
    <row r="231" spans="1:6" x14ac:dyDescent="0.3">
      <c r="A231" s="2">
        <v>45413</v>
      </c>
      <c r="B231" t="s">
        <v>24</v>
      </c>
      <c r="C231">
        <v>0</v>
      </c>
      <c r="D231" s="10">
        <v>960</v>
      </c>
      <c r="E231" s="10">
        <v>0</v>
      </c>
      <c r="F231" t="s">
        <v>76</v>
      </c>
    </row>
    <row r="232" spans="1:6" x14ac:dyDescent="0.3">
      <c r="A232" s="2">
        <v>45444</v>
      </c>
      <c r="B232" t="s">
        <v>24</v>
      </c>
      <c r="C232">
        <v>0</v>
      </c>
      <c r="D232" s="10">
        <v>960</v>
      </c>
      <c r="E232" s="10">
        <v>0</v>
      </c>
      <c r="F232" t="s">
        <v>76</v>
      </c>
    </row>
    <row r="233" spans="1:6" x14ac:dyDescent="0.3">
      <c r="A233" s="2">
        <v>45474</v>
      </c>
      <c r="B233" t="s">
        <v>24</v>
      </c>
      <c r="C233">
        <v>0</v>
      </c>
      <c r="D233" s="10">
        <v>960</v>
      </c>
      <c r="E233" s="10">
        <v>0</v>
      </c>
      <c r="F233" t="s">
        <v>76</v>
      </c>
    </row>
    <row r="234" spans="1:6" x14ac:dyDescent="0.3">
      <c r="A234" s="2">
        <v>45505</v>
      </c>
      <c r="B234" t="s">
        <v>24</v>
      </c>
      <c r="C234">
        <v>0</v>
      </c>
      <c r="D234" s="10">
        <v>960</v>
      </c>
      <c r="E234" s="10">
        <v>0</v>
      </c>
      <c r="F234" t="s">
        <v>76</v>
      </c>
    </row>
    <row r="235" spans="1:6" x14ac:dyDescent="0.3">
      <c r="A235" s="2">
        <v>45536</v>
      </c>
      <c r="B235" t="s">
        <v>24</v>
      </c>
      <c r="C235">
        <v>0</v>
      </c>
      <c r="D235" s="10">
        <v>960</v>
      </c>
      <c r="E235" s="10">
        <v>0</v>
      </c>
      <c r="F235" t="s">
        <v>76</v>
      </c>
    </row>
    <row r="236" spans="1:6" x14ac:dyDescent="0.3">
      <c r="A236" s="2">
        <v>45566</v>
      </c>
      <c r="B236" t="s">
        <v>24</v>
      </c>
      <c r="C236">
        <v>270</v>
      </c>
      <c r="D236" s="10">
        <v>720</v>
      </c>
      <c r="E236" s="10">
        <v>194400</v>
      </c>
      <c r="F236" t="s">
        <v>76</v>
      </c>
    </row>
    <row r="237" spans="1:6" x14ac:dyDescent="0.3">
      <c r="A237" s="2">
        <v>45597</v>
      </c>
      <c r="B237" t="s">
        <v>24</v>
      </c>
      <c r="C237">
        <v>0</v>
      </c>
      <c r="D237" s="10">
        <v>720</v>
      </c>
      <c r="E237" s="10">
        <v>0</v>
      </c>
      <c r="F237" t="s">
        <v>76</v>
      </c>
    </row>
    <row r="238" spans="1:6" x14ac:dyDescent="0.3">
      <c r="A238" s="2">
        <v>45627</v>
      </c>
      <c r="B238" t="s">
        <v>24</v>
      </c>
      <c r="C238">
        <v>0</v>
      </c>
      <c r="D238" s="10">
        <v>720</v>
      </c>
      <c r="E238" s="10">
        <v>0</v>
      </c>
      <c r="F238" t="s">
        <v>76</v>
      </c>
    </row>
    <row r="239" spans="1:6" x14ac:dyDescent="0.3">
      <c r="A239" s="2">
        <v>45658</v>
      </c>
      <c r="B239" t="s">
        <v>24</v>
      </c>
      <c r="C239">
        <v>240</v>
      </c>
      <c r="D239" s="10">
        <v>720.00749999999994</v>
      </c>
      <c r="E239" s="10">
        <v>172801.8</v>
      </c>
      <c r="F239" t="s">
        <v>76</v>
      </c>
    </row>
    <row r="240" spans="1:6" x14ac:dyDescent="0.3">
      <c r="A240" s="2">
        <v>45689</v>
      </c>
      <c r="B240" t="s">
        <v>24</v>
      </c>
      <c r="C240">
        <v>0</v>
      </c>
      <c r="D240" s="10">
        <v>720.00749999999994</v>
      </c>
      <c r="E240" s="10">
        <v>0</v>
      </c>
      <c r="F240" t="s">
        <v>76</v>
      </c>
    </row>
    <row r="241" spans="1:6" x14ac:dyDescent="0.3">
      <c r="A241" s="2">
        <v>45717</v>
      </c>
      <c r="B241" t="s">
        <v>24</v>
      </c>
      <c r="C241">
        <v>0</v>
      </c>
      <c r="D241" s="10">
        <v>720.00749999999994</v>
      </c>
      <c r="E241" s="10">
        <v>0</v>
      </c>
      <c r="F241" t="s">
        <v>76</v>
      </c>
    </row>
    <row r="242" spans="1:6" x14ac:dyDescent="0.3">
      <c r="A242" s="2">
        <v>45383</v>
      </c>
      <c r="B242" t="s">
        <v>25</v>
      </c>
      <c r="C242">
        <v>450</v>
      </c>
      <c r="D242" s="10">
        <v>128.92500000000001</v>
      </c>
      <c r="E242" s="10">
        <v>58016.250000000007</v>
      </c>
      <c r="F242" t="s">
        <v>75</v>
      </c>
    </row>
    <row r="243" spans="1:6" x14ac:dyDescent="0.3">
      <c r="A243" s="2">
        <v>45413</v>
      </c>
      <c r="B243" t="s">
        <v>25</v>
      </c>
      <c r="C243">
        <v>0</v>
      </c>
      <c r="D243" s="10">
        <v>128.92500000000001</v>
      </c>
      <c r="E243" s="10">
        <v>0</v>
      </c>
      <c r="F243" t="s">
        <v>75</v>
      </c>
    </row>
    <row r="244" spans="1:6" x14ac:dyDescent="0.3">
      <c r="A244" s="2">
        <v>45444</v>
      </c>
      <c r="B244" t="s">
        <v>25</v>
      </c>
      <c r="C244">
        <v>0</v>
      </c>
      <c r="D244" s="10">
        <v>128.92500000000001</v>
      </c>
      <c r="E244" s="10">
        <v>0</v>
      </c>
      <c r="F244" t="s">
        <v>75</v>
      </c>
    </row>
    <row r="245" spans="1:6" x14ac:dyDescent="0.3">
      <c r="A245" s="2">
        <v>45474</v>
      </c>
      <c r="B245" t="s">
        <v>25</v>
      </c>
      <c r="C245">
        <v>0</v>
      </c>
      <c r="D245" s="10">
        <v>128.92500000000001</v>
      </c>
      <c r="E245" s="10">
        <v>0</v>
      </c>
      <c r="F245" t="s">
        <v>75</v>
      </c>
    </row>
    <row r="246" spans="1:6" x14ac:dyDescent="0.3">
      <c r="A246" s="2">
        <v>45505</v>
      </c>
      <c r="B246" t="s">
        <v>25</v>
      </c>
      <c r="C246">
        <v>120</v>
      </c>
      <c r="D246" s="10">
        <v>147</v>
      </c>
      <c r="E246" s="10">
        <v>17640</v>
      </c>
      <c r="F246" t="s">
        <v>75</v>
      </c>
    </row>
    <row r="247" spans="1:6" x14ac:dyDescent="0.3">
      <c r="A247" s="2">
        <v>45536</v>
      </c>
      <c r="B247" t="s">
        <v>25</v>
      </c>
      <c r="C247">
        <v>0</v>
      </c>
      <c r="D247" s="10">
        <v>147</v>
      </c>
      <c r="E247" s="10">
        <v>0</v>
      </c>
      <c r="F247" t="s">
        <v>75</v>
      </c>
    </row>
    <row r="248" spans="1:6" x14ac:dyDescent="0.3">
      <c r="A248" s="2">
        <v>45566</v>
      </c>
      <c r="B248" t="s">
        <v>25</v>
      </c>
      <c r="C248">
        <v>240</v>
      </c>
      <c r="D248" s="10">
        <v>140.38499999999999</v>
      </c>
      <c r="E248" s="10">
        <v>33692.400000000001</v>
      </c>
      <c r="F248" t="s">
        <v>75</v>
      </c>
    </row>
    <row r="249" spans="1:6" x14ac:dyDescent="0.3">
      <c r="A249" s="2">
        <v>45597</v>
      </c>
      <c r="B249" t="s">
        <v>25</v>
      </c>
      <c r="C249">
        <v>750</v>
      </c>
      <c r="D249" s="10">
        <v>127.575</v>
      </c>
      <c r="E249" s="10">
        <v>95681.25</v>
      </c>
      <c r="F249" t="s">
        <v>75</v>
      </c>
    </row>
    <row r="250" spans="1:6" x14ac:dyDescent="0.3">
      <c r="A250" s="2">
        <v>45627</v>
      </c>
      <c r="B250" t="s">
        <v>25</v>
      </c>
      <c r="C250">
        <v>0</v>
      </c>
      <c r="D250" s="10">
        <v>127.575</v>
      </c>
      <c r="E250" s="10">
        <v>0</v>
      </c>
      <c r="F250" t="s">
        <v>75</v>
      </c>
    </row>
    <row r="251" spans="1:6" x14ac:dyDescent="0.3">
      <c r="A251" s="2">
        <v>45658</v>
      </c>
      <c r="B251" t="s">
        <v>25</v>
      </c>
      <c r="C251">
        <v>990</v>
      </c>
      <c r="D251" s="10">
        <v>131.04</v>
      </c>
      <c r="E251" s="10">
        <v>129729.60000000001</v>
      </c>
      <c r="F251" t="s">
        <v>75</v>
      </c>
    </row>
    <row r="252" spans="1:6" x14ac:dyDescent="0.3">
      <c r="A252" s="2">
        <v>45689</v>
      </c>
      <c r="B252" t="s">
        <v>25</v>
      </c>
      <c r="C252">
        <v>1020</v>
      </c>
      <c r="D252" s="10">
        <v>128.90911764705879</v>
      </c>
      <c r="E252" s="10">
        <v>131487.29999999999</v>
      </c>
      <c r="F252" t="s">
        <v>75</v>
      </c>
    </row>
    <row r="253" spans="1:6" x14ac:dyDescent="0.3">
      <c r="A253" s="2">
        <v>45717</v>
      </c>
      <c r="B253" t="s">
        <v>25</v>
      </c>
      <c r="C253">
        <v>0</v>
      </c>
      <c r="D253" s="10">
        <v>128.90911764705879</v>
      </c>
      <c r="E253" s="10">
        <v>0</v>
      </c>
      <c r="F253" t="s">
        <v>75</v>
      </c>
    </row>
    <row r="254" spans="1:6" x14ac:dyDescent="0.3">
      <c r="A254" s="2">
        <v>45383</v>
      </c>
      <c r="B254" t="s">
        <v>26</v>
      </c>
      <c r="C254">
        <v>30000</v>
      </c>
      <c r="D254" s="10">
        <v>5.3571</v>
      </c>
      <c r="E254" s="10">
        <v>160713</v>
      </c>
      <c r="F254" t="s">
        <v>76</v>
      </c>
    </row>
    <row r="255" spans="1:6" x14ac:dyDescent="0.3">
      <c r="A255" s="2">
        <v>45413</v>
      </c>
      <c r="B255" t="s">
        <v>26</v>
      </c>
      <c r="C255">
        <v>6000</v>
      </c>
      <c r="D255" s="10">
        <v>5.3</v>
      </c>
      <c r="E255" s="10">
        <v>31800</v>
      </c>
      <c r="F255" t="s">
        <v>76</v>
      </c>
    </row>
    <row r="256" spans="1:6" x14ac:dyDescent="0.3">
      <c r="A256" s="2">
        <v>45444</v>
      </c>
      <c r="B256" t="s">
        <v>26</v>
      </c>
      <c r="C256">
        <v>30000</v>
      </c>
      <c r="D256" s="10">
        <v>5.3571</v>
      </c>
      <c r="E256" s="10">
        <v>160713</v>
      </c>
      <c r="F256" t="s">
        <v>76</v>
      </c>
    </row>
    <row r="257" spans="1:6" x14ac:dyDescent="0.3">
      <c r="A257" s="2">
        <v>45474</v>
      </c>
      <c r="B257" t="s">
        <v>26</v>
      </c>
      <c r="C257">
        <v>0</v>
      </c>
      <c r="D257" s="10">
        <v>5.3571</v>
      </c>
      <c r="E257" s="10">
        <v>0</v>
      </c>
      <c r="F257" t="s">
        <v>76</v>
      </c>
    </row>
    <row r="258" spans="1:6" x14ac:dyDescent="0.3">
      <c r="A258" s="2">
        <v>45505</v>
      </c>
      <c r="B258" t="s">
        <v>26</v>
      </c>
      <c r="C258">
        <v>0</v>
      </c>
      <c r="D258" s="10">
        <v>5.3571</v>
      </c>
      <c r="E258" s="10">
        <v>0</v>
      </c>
      <c r="F258" t="s">
        <v>76</v>
      </c>
    </row>
    <row r="259" spans="1:6" x14ac:dyDescent="0.3">
      <c r="A259" s="2">
        <v>45536</v>
      </c>
      <c r="B259" t="s">
        <v>26</v>
      </c>
      <c r="C259">
        <v>0</v>
      </c>
      <c r="D259" s="10">
        <v>5.3571</v>
      </c>
      <c r="E259" s="10">
        <v>0</v>
      </c>
      <c r="F259" t="s">
        <v>76</v>
      </c>
    </row>
    <row r="260" spans="1:6" x14ac:dyDescent="0.3">
      <c r="A260" s="2">
        <v>45566</v>
      </c>
      <c r="B260" t="s">
        <v>26</v>
      </c>
      <c r="C260">
        <v>0</v>
      </c>
      <c r="D260" s="10">
        <v>5.3571</v>
      </c>
      <c r="E260" s="10">
        <v>0</v>
      </c>
      <c r="F260" t="s">
        <v>76</v>
      </c>
    </row>
    <row r="261" spans="1:6" x14ac:dyDescent="0.3">
      <c r="A261" s="2">
        <v>45597</v>
      </c>
      <c r="B261" t="s">
        <v>26</v>
      </c>
      <c r="C261">
        <v>0</v>
      </c>
      <c r="D261" s="10">
        <v>5.3571</v>
      </c>
      <c r="E261" s="10">
        <v>0</v>
      </c>
      <c r="F261" t="s">
        <v>76</v>
      </c>
    </row>
    <row r="262" spans="1:6" x14ac:dyDescent="0.3">
      <c r="A262" s="2">
        <v>45627</v>
      </c>
      <c r="B262" t="s">
        <v>26</v>
      </c>
      <c r="C262">
        <v>0</v>
      </c>
      <c r="D262" s="10">
        <v>5.3571</v>
      </c>
      <c r="E262" s="10">
        <v>0</v>
      </c>
      <c r="F262" t="s">
        <v>76</v>
      </c>
    </row>
    <row r="263" spans="1:6" x14ac:dyDescent="0.3">
      <c r="A263" s="2">
        <v>45658</v>
      </c>
      <c r="B263" t="s">
        <v>26</v>
      </c>
      <c r="C263">
        <v>0</v>
      </c>
      <c r="D263" s="10">
        <v>5.3571</v>
      </c>
      <c r="E263" s="10">
        <v>0</v>
      </c>
      <c r="F263" t="s">
        <v>76</v>
      </c>
    </row>
    <row r="264" spans="1:6" x14ac:dyDescent="0.3">
      <c r="A264" s="2">
        <v>45689</v>
      </c>
      <c r="B264" t="s">
        <v>26</v>
      </c>
      <c r="C264">
        <v>0</v>
      </c>
      <c r="D264" s="10">
        <v>5.3571</v>
      </c>
      <c r="E264" s="10">
        <v>0</v>
      </c>
      <c r="F264" t="s">
        <v>76</v>
      </c>
    </row>
    <row r="265" spans="1:6" x14ac:dyDescent="0.3">
      <c r="A265" s="2">
        <v>45717</v>
      </c>
      <c r="B265" t="s">
        <v>26</v>
      </c>
      <c r="C265">
        <v>0</v>
      </c>
      <c r="D265" s="10">
        <v>5.3571</v>
      </c>
      <c r="E265" s="10">
        <v>0</v>
      </c>
      <c r="F265" t="s">
        <v>76</v>
      </c>
    </row>
    <row r="266" spans="1:6" x14ac:dyDescent="0.3">
      <c r="A266" s="2">
        <v>45383</v>
      </c>
      <c r="B266" t="s">
        <v>27</v>
      </c>
      <c r="C266">
        <v>43</v>
      </c>
      <c r="D266" s="10">
        <v>3500</v>
      </c>
      <c r="E266" s="10">
        <v>150500</v>
      </c>
      <c r="F266" t="s">
        <v>76</v>
      </c>
    </row>
    <row r="267" spans="1:6" x14ac:dyDescent="0.3">
      <c r="A267" s="2">
        <v>45413</v>
      </c>
      <c r="B267" t="s">
        <v>27</v>
      </c>
      <c r="C267">
        <v>12</v>
      </c>
      <c r="D267" s="10">
        <v>3500</v>
      </c>
      <c r="E267" s="10">
        <v>42000</v>
      </c>
      <c r="F267" t="s">
        <v>76</v>
      </c>
    </row>
    <row r="268" spans="1:6" x14ac:dyDescent="0.3">
      <c r="A268" s="2">
        <v>45444</v>
      </c>
      <c r="B268" t="s">
        <v>27</v>
      </c>
      <c r="C268">
        <v>10</v>
      </c>
      <c r="D268" s="10">
        <v>3142.86</v>
      </c>
      <c r="E268" s="10">
        <v>31428.6</v>
      </c>
      <c r="F268" t="s">
        <v>76</v>
      </c>
    </row>
    <row r="269" spans="1:6" x14ac:dyDescent="0.3">
      <c r="A269" s="2">
        <v>45474</v>
      </c>
      <c r="B269" t="s">
        <v>27</v>
      </c>
      <c r="C269">
        <v>0</v>
      </c>
      <c r="D269" s="10">
        <v>3142.86</v>
      </c>
      <c r="E269" s="10">
        <v>0</v>
      </c>
      <c r="F269" t="s">
        <v>76</v>
      </c>
    </row>
    <row r="270" spans="1:6" x14ac:dyDescent="0.3">
      <c r="A270" s="2">
        <v>45505</v>
      </c>
      <c r="B270" t="s">
        <v>27</v>
      </c>
      <c r="C270">
        <v>0</v>
      </c>
      <c r="D270" s="10">
        <v>3142.86</v>
      </c>
      <c r="E270" s="10">
        <v>0</v>
      </c>
      <c r="F270" t="s">
        <v>76</v>
      </c>
    </row>
    <row r="271" spans="1:6" x14ac:dyDescent="0.3">
      <c r="A271" s="2">
        <v>45536</v>
      </c>
      <c r="B271" t="s">
        <v>27</v>
      </c>
      <c r="C271">
        <v>2</v>
      </c>
      <c r="D271" s="10">
        <v>3300</v>
      </c>
      <c r="E271" s="10">
        <v>6600</v>
      </c>
      <c r="F271" t="s">
        <v>76</v>
      </c>
    </row>
    <row r="272" spans="1:6" x14ac:dyDescent="0.3">
      <c r="A272" s="2">
        <v>45566</v>
      </c>
      <c r="B272" t="s">
        <v>27</v>
      </c>
      <c r="C272">
        <v>10</v>
      </c>
      <c r="D272" s="10">
        <v>3424</v>
      </c>
      <c r="E272" s="10">
        <v>34240</v>
      </c>
      <c r="F272" t="s">
        <v>76</v>
      </c>
    </row>
    <row r="273" spans="1:6" x14ac:dyDescent="0.3">
      <c r="A273" s="2">
        <v>45597</v>
      </c>
      <c r="B273" t="s">
        <v>27</v>
      </c>
      <c r="C273">
        <v>18</v>
      </c>
      <c r="D273" s="10">
        <v>3322.2461111111111</v>
      </c>
      <c r="E273" s="10">
        <v>59800.43</v>
      </c>
      <c r="F273" t="s">
        <v>76</v>
      </c>
    </row>
    <row r="274" spans="1:6" x14ac:dyDescent="0.3">
      <c r="A274" s="2">
        <v>45627</v>
      </c>
      <c r="B274" t="s">
        <v>27</v>
      </c>
      <c r="C274">
        <v>0</v>
      </c>
      <c r="D274" s="10">
        <v>3322.2461111111111</v>
      </c>
      <c r="E274" s="10">
        <v>0</v>
      </c>
      <c r="F274" t="s">
        <v>76</v>
      </c>
    </row>
    <row r="275" spans="1:6" x14ac:dyDescent="0.3">
      <c r="A275" s="2">
        <v>45658</v>
      </c>
      <c r="B275" t="s">
        <v>27</v>
      </c>
      <c r="C275">
        <v>0</v>
      </c>
      <c r="D275" s="10">
        <v>3322.2461111111111</v>
      </c>
      <c r="E275" s="10">
        <v>0</v>
      </c>
      <c r="F275" t="s">
        <v>76</v>
      </c>
    </row>
    <row r="276" spans="1:6" x14ac:dyDescent="0.3">
      <c r="A276" s="2">
        <v>45689</v>
      </c>
      <c r="B276" t="s">
        <v>27</v>
      </c>
      <c r="C276">
        <v>0</v>
      </c>
      <c r="D276" s="10">
        <v>3322.2461111111111</v>
      </c>
      <c r="E276" s="10">
        <v>0</v>
      </c>
      <c r="F276" t="s">
        <v>76</v>
      </c>
    </row>
    <row r="277" spans="1:6" x14ac:dyDescent="0.3">
      <c r="A277" s="2">
        <v>45717</v>
      </c>
      <c r="B277" t="s">
        <v>27</v>
      </c>
      <c r="C277">
        <v>0</v>
      </c>
      <c r="D277" s="10">
        <v>3322.2461111111111</v>
      </c>
      <c r="E277" s="10">
        <v>0</v>
      </c>
      <c r="F277" t="s">
        <v>76</v>
      </c>
    </row>
    <row r="278" spans="1:6" x14ac:dyDescent="0.3">
      <c r="A278" s="2">
        <v>45383</v>
      </c>
      <c r="B278" t="s">
        <v>28</v>
      </c>
      <c r="C278">
        <v>0</v>
      </c>
      <c r="D278" s="10">
        <v>138</v>
      </c>
      <c r="E278" s="10">
        <v>0</v>
      </c>
      <c r="F278" t="s">
        <v>76</v>
      </c>
    </row>
    <row r="279" spans="1:6" x14ac:dyDescent="0.3">
      <c r="A279" s="2">
        <v>45413</v>
      </c>
      <c r="B279" t="s">
        <v>28</v>
      </c>
      <c r="C279">
        <v>200</v>
      </c>
      <c r="D279" s="10">
        <v>138</v>
      </c>
      <c r="E279" s="10">
        <v>27600</v>
      </c>
      <c r="F279" t="s">
        <v>76</v>
      </c>
    </row>
    <row r="280" spans="1:6" x14ac:dyDescent="0.3">
      <c r="A280" s="2">
        <v>45444</v>
      </c>
      <c r="B280" t="s">
        <v>28</v>
      </c>
      <c r="C280">
        <v>0</v>
      </c>
      <c r="D280" s="10">
        <v>138</v>
      </c>
      <c r="E280" s="10">
        <v>0</v>
      </c>
      <c r="F280" t="s">
        <v>76</v>
      </c>
    </row>
    <row r="281" spans="1:6" x14ac:dyDescent="0.3">
      <c r="A281" s="2">
        <v>45474</v>
      </c>
      <c r="B281" t="s">
        <v>28</v>
      </c>
      <c r="C281">
        <v>360</v>
      </c>
      <c r="D281" s="10">
        <v>138</v>
      </c>
      <c r="E281" s="10">
        <v>49680</v>
      </c>
      <c r="F281" t="s">
        <v>76</v>
      </c>
    </row>
    <row r="282" spans="1:6" x14ac:dyDescent="0.3">
      <c r="A282" s="2">
        <v>45505</v>
      </c>
      <c r="B282" t="s">
        <v>28</v>
      </c>
      <c r="C282">
        <v>20000</v>
      </c>
      <c r="D282" s="10">
        <v>1.38</v>
      </c>
      <c r="E282" s="10">
        <v>27600</v>
      </c>
      <c r="F282" t="s">
        <v>76</v>
      </c>
    </row>
    <row r="283" spans="1:6" x14ac:dyDescent="0.3">
      <c r="A283" s="2">
        <v>45536</v>
      </c>
      <c r="B283" t="s">
        <v>28</v>
      </c>
      <c r="C283">
        <v>0</v>
      </c>
      <c r="D283" s="10">
        <v>1.38</v>
      </c>
      <c r="E283" s="10">
        <v>0</v>
      </c>
      <c r="F283" t="s">
        <v>76</v>
      </c>
    </row>
    <row r="284" spans="1:6" x14ac:dyDescent="0.3">
      <c r="A284" s="2">
        <v>45566</v>
      </c>
      <c r="B284" t="s">
        <v>28</v>
      </c>
      <c r="C284">
        <v>550</v>
      </c>
      <c r="D284" s="10">
        <v>139.09090909090909</v>
      </c>
      <c r="E284" s="10">
        <v>76500</v>
      </c>
      <c r="F284" t="s">
        <v>76</v>
      </c>
    </row>
    <row r="285" spans="1:6" x14ac:dyDescent="0.3">
      <c r="A285" s="2">
        <v>45597</v>
      </c>
      <c r="B285" t="s">
        <v>28</v>
      </c>
      <c r="C285">
        <v>150</v>
      </c>
      <c r="D285" s="10">
        <v>143</v>
      </c>
      <c r="E285" s="10">
        <v>21450</v>
      </c>
      <c r="F285" t="s">
        <v>76</v>
      </c>
    </row>
    <row r="286" spans="1:6" x14ac:dyDescent="0.3">
      <c r="A286" s="2">
        <v>45627</v>
      </c>
      <c r="B286" t="s">
        <v>28</v>
      </c>
      <c r="C286">
        <v>200</v>
      </c>
      <c r="D286" s="10">
        <v>143</v>
      </c>
      <c r="E286" s="10">
        <v>28600</v>
      </c>
      <c r="F286" t="s">
        <v>76</v>
      </c>
    </row>
    <row r="287" spans="1:6" x14ac:dyDescent="0.3">
      <c r="A287" s="2">
        <v>45658</v>
      </c>
      <c r="B287" t="s">
        <v>28</v>
      </c>
      <c r="C287">
        <v>200</v>
      </c>
      <c r="D287" s="10">
        <v>143</v>
      </c>
      <c r="E287" s="10">
        <v>28600</v>
      </c>
      <c r="F287" t="s">
        <v>76</v>
      </c>
    </row>
    <row r="288" spans="1:6" x14ac:dyDescent="0.3">
      <c r="A288" s="2">
        <v>45689</v>
      </c>
      <c r="B288" t="s">
        <v>28</v>
      </c>
      <c r="C288">
        <v>200</v>
      </c>
      <c r="D288" s="10">
        <v>143</v>
      </c>
      <c r="E288" s="10">
        <v>28600</v>
      </c>
      <c r="F288" t="s">
        <v>76</v>
      </c>
    </row>
    <row r="289" spans="1:6" x14ac:dyDescent="0.3">
      <c r="A289" s="2">
        <v>45717</v>
      </c>
      <c r="B289" t="s">
        <v>28</v>
      </c>
      <c r="C289">
        <v>200</v>
      </c>
      <c r="D289" s="10">
        <v>143</v>
      </c>
      <c r="E289" s="10">
        <v>28600</v>
      </c>
      <c r="F289" t="s">
        <v>76</v>
      </c>
    </row>
    <row r="290" spans="1:6" x14ac:dyDescent="0.3">
      <c r="A290" s="2">
        <v>45383</v>
      </c>
      <c r="B290" t="s">
        <v>29</v>
      </c>
      <c r="C290">
        <v>6000</v>
      </c>
      <c r="D290" s="10">
        <v>23.4</v>
      </c>
      <c r="E290" s="10">
        <v>140400</v>
      </c>
      <c r="F290" t="s">
        <v>76</v>
      </c>
    </row>
    <row r="291" spans="1:6" x14ac:dyDescent="0.3">
      <c r="A291" s="2">
        <v>45413</v>
      </c>
      <c r="B291" t="s">
        <v>29</v>
      </c>
      <c r="C291">
        <v>0</v>
      </c>
      <c r="D291" s="10">
        <v>23.4</v>
      </c>
      <c r="E291" s="10">
        <v>0</v>
      </c>
      <c r="F291" t="s">
        <v>76</v>
      </c>
    </row>
    <row r="292" spans="1:6" x14ac:dyDescent="0.3">
      <c r="A292" s="2">
        <v>45444</v>
      </c>
      <c r="B292" t="s">
        <v>29</v>
      </c>
      <c r="C292">
        <v>2000</v>
      </c>
      <c r="D292" s="10">
        <v>23.4</v>
      </c>
      <c r="E292" s="10">
        <v>46800</v>
      </c>
      <c r="F292" t="s">
        <v>76</v>
      </c>
    </row>
    <row r="293" spans="1:6" x14ac:dyDescent="0.3">
      <c r="A293" s="2">
        <v>45474</v>
      </c>
      <c r="B293" t="s">
        <v>29</v>
      </c>
      <c r="C293">
        <v>1000</v>
      </c>
      <c r="D293" s="10">
        <v>23.4</v>
      </c>
      <c r="E293" s="10">
        <v>23400</v>
      </c>
      <c r="F293" t="s">
        <v>76</v>
      </c>
    </row>
    <row r="294" spans="1:6" x14ac:dyDescent="0.3">
      <c r="A294" s="2">
        <v>45505</v>
      </c>
      <c r="B294" t="s">
        <v>29</v>
      </c>
      <c r="C294">
        <v>1500</v>
      </c>
      <c r="D294" s="10">
        <v>23.4</v>
      </c>
      <c r="E294" s="10">
        <v>35100</v>
      </c>
      <c r="F294" t="s">
        <v>76</v>
      </c>
    </row>
    <row r="295" spans="1:6" x14ac:dyDescent="0.3">
      <c r="A295" s="2">
        <v>45536</v>
      </c>
      <c r="B295" t="s">
        <v>29</v>
      </c>
      <c r="C295">
        <v>3000</v>
      </c>
      <c r="D295" s="10">
        <v>21.594999999999999</v>
      </c>
      <c r="E295" s="10">
        <v>64785</v>
      </c>
      <c r="F295" t="s">
        <v>76</v>
      </c>
    </row>
    <row r="296" spans="1:6" x14ac:dyDescent="0.3">
      <c r="A296" s="2">
        <v>45566</v>
      </c>
      <c r="B296" t="s">
        <v>29</v>
      </c>
      <c r="C296">
        <v>0</v>
      </c>
      <c r="D296" s="10">
        <v>21.594999999999999</v>
      </c>
      <c r="E296" s="10">
        <v>0</v>
      </c>
      <c r="F296" t="s">
        <v>76</v>
      </c>
    </row>
    <row r="297" spans="1:6" x14ac:dyDescent="0.3">
      <c r="A297" s="2">
        <v>45597</v>
      </c>
      <c r="B297" t="s">
        <v>29</v>
      </c>
      <c r="C297">
        <v>0</v>
      </c>
      <c r="D297" s="10">
        <v>21.594999999999999</v>
      </c>
      <c r="E297" s="10">
        <v>0</v>
      </c>
      <c r="F297" t="s">
        <v>76</v>
      </c>
    </row>
    <row r="298" spans="1:6" x14ac:dyDescent="0.3">
      <c r="A298" s="2">
        <v>45627</v>
      </c>
      <c r="B298" t="s">
        <v>29</v>
      </c>
      <c r="C298">
        <v>0</v>
      </c>
      <c r="D298" s="10">
        <v>21.594999999999999</v>
      </c>
      <c r="E298" s="10">
        <v>0</v>
      </c>
      <c r="F298" t="s">
        <v>76</v>
      </c>
    </row>
    <row r="299" spans="1:6" x14ac:dyDescent="0.3">
      <c r="A299" s="2">
        <v>45658</v>
      </c>
      <c r="B299" t="s">
        <v>29</v>
      </c>
      <c r="C299">
        <v>0</v>
      </c>
      <c r="D299" s="10">
        <v>21.594999999999999</v>
      </c>
      <c r="E299" s="10">
        <v>0</v>
      </c>
      <c r="F299" t="s">
        <v>76</v>
      </c>
    </row>
    <row r="300" spans="1:6" x14ac:dyDescent="0.3">
      <c r="A300" s="2">
        <v>45689</v>
      </c>
      <c r="B300" t="s">
        <v>29</v>
      </c>
      <c r="C300">
        <v>0</v>
      </c>
      <c r="D300" s="10">
        <v>21.594999999999999</v>
      </c>
      <c r="E300" s="10">
        <v>0</v>
      </c>
      <c r="F300" t="s">
        <v>76</v>
      </c>
    </row>
    <row r="301" spans="1:6" x14ac:dyDescent="0.3">
      <c r="A301" s="2">
        <v>45717</v>
      </c>
      <c r="B301" t="s">
        <v>29</v>
      </c>
      <c r="C301">
        <v>0</v>
      </c>
      <c r="D301" s="10">
        <v>21.594999999999999</v>
      </c>
      <c r="E301" s="10">
        <v>0</v>
      </c>
      <c r="F301" t="s">
        <v>76</v>
      </c>
    </row>
    <row r="302" spans="1:6" x14ac:dyDescent="0.3">
      <c r="A302" s="2">
        <v>45383</v>
      </c>
      <c r="B302" t="s">
        <v>30</v>
      </c>
      <c r="C302">
        <v>0</v>
      </c>
      <c r="D302" s="10">
        <v>400</v>
      </c>
      <c r="E302" s="10">
        <v>0</v>
      </c>
      <c r="F302" t="s">
        <v>76</v>
      </c>
    </row>
    <row r="303" spans="1:6" x14ac:dyDescent="0.3">
      <c r="A303" s="2">
        <v>45413</v>
      </c>
      <c r="B303" t="s">
        <v>30</v>
      </c>
      <c r="C303">
        <v>240</v>
      </c>
      <c r="D303" s="10">
        <v>400</v>
      </c>
      <c r="E303" s="10">
        <v>96000</v>
      </c>
      <c r="F303" t="s">
        <v>76</v>
      </c>
    </row>
    <row r="304" spans="1:6" x14ac:dyDescent="0.3">
      <c r="A304" s="2">
        <v>45444</v>
      </c>
      <c r="B304" t="s">
        <v>30</v>
      </c>
      <c r="C304">
        <v>0</v>
      </c>
      <c r="D304" s="10">
        <v>400</v>
      </c>
      <c r="E304" s="10">
        <v>0</v>
      </c>
      <c r="F304" t="s">
        <v>76</v>
      </c>
    </row>
    <row r="305" spans="1:6" x14ac:dyDescent="0.3">
      <c r="A305" s="2">
        <v>45474</v>
      </c>
      <c r="B305" t="s">
        <v>30</v>
      </c>
      <c r="C305">
        <v>0</v>
      </c>
      <c r="D305" s="10">
        <v>400</v>
      </c>
      <c r="E305" s="10">
        <v>0</v>
      </c>
      <c r="F305" t="s">
        <v>76</v>
      </c>
    </row>
    <row r="306" spans="1:6" x14ac:dyDescent="0.3">
      <c r="A306" s="2">
        <v>45505</v>
      </c>
      <c r="B306" t="s">
        <v>30</v>
      </c>
      <c r="C306">
        <v>0</v>
      </c>
      <c r="D306" s="10">
        <v>400</v>
      </c>
      <c r="E306" s="10">
        <v>0</v>
      </c>
      <c r="F306" t="s">
        <v>76</v>
      </c>
    </row>
    <row r="307" spans="1:6" x14ac:dyDescent="0.3">
      <c r="A307" s="2">
        <v>45536</v>
      </c>
      <c r="B307" t="s">
        <v>30</v>
      </c>
      <c r="C307">
        <v>240</v>
      </c>
      <c r="D307" s="10">
        <v>400</v>
      </c>
      <c r="E307" s="10">
        <v>96000</v>
      </c>
      <c r="F307" t="s">
        <v>76</v>
      </c>
    </row>
    <row r="308" spans="1:6" x14ac:dyDescent="0.3">
      <c r="A308" s="2">
        <v>45566</v>
      </c>
      <c r="B308" t="s">
        <v>30</v>
      </c>
      <c r="C308">
        <v>0</v>
      </c>
      <c r="D308" s="10">
        <v>400</v>
      </c>
      <c r="E308" s="10">
        <v>0</v>
      </c>
      <c r="F308" t="s">
        <v>76</v>
      </c>
    </row>
    <row r="309" spans="1:6" x14ac:dyDescent="0.3">
      <c r="A309" s="2">
        <v>45597</v>
      </c>
      <c r="B309" t="s">
        <v>30</v>
      </c>
      <c r="C309">
        <v>0</v>
      </c>
      <c r="D309" s="10">
        <v>400</v>
      </c>
      <c r="E309" s="10">
        <v>0</v>
      </c>
      <c r="F309" t="s">
        <v>76</v>
      </c>
    </row>
    <row r="310" spans="1:6" x14ac:dyDescent="0.3">
      <c r="A310" s="2">
        <v>45627</v>
      </c>
      <c r="B310" t="s">
        <v>30</v>
      </c>
      <c r="C310">
        <v>240</v>
      </c>
      <c r="D310" s="10">
        <v>400</v>
      </c>
      <c r="E310" s="10">
        <v>96000</v>
      </c>
      <c r="F310" t="s">
        <v>76</v>
      </c>
    </row>
    <row r="311" spans="1:6" x14ac:dyDescent="0.3">
      <c r="A311" s="2">
        <v>45658</v>
      </c>
      <c r="B311" t="s">
        <v>30</v>
      </c>
      <c r="C311">
        <v>0</v>
      </c>
      <c r="D311" s="10">
        <v>400</v>
      </c>
      <c r="E311" s="10">
        <v>0</v>
      </c>
      <c r="F311" t="s">
        <v>76</v>
      </c>
    </row>
    <row r="312" spans="1:6" x14ac:dyDescent="0.3">
      <c r="A312" s="2">
        <v>45689</v>
      </c>
      <c r="B312" t="s">
        <v>30</v>
      </c>
      <c r="C312">
        <v>0</v>
      </c>
      <c r="D312" s="10">
        <v>400</v>
      </c>
      <c r="E312" s="10">
        <v>0</v>
      </c>
      <c r="F312" t="s">
        <v>76</v>
      </c>
    </row>
    <row r="313" spans="1:6" x14ac:dyDescent="0.3">
      <c r="A313" s="2">
        <v>45717</v>
      </c>
      <c r="B313" t="s">
        <v>30</v>
      </c>
      <c r="C313">
        <v>0</v>
      </c>
      <c r="D313" s="10">
        <v>400</v>
      </c>
      <c r="E313" s="10">
        <v>0</v>
      </c>
      <c r="F313" t="s">
        <v>76</v>
      </c>
    </row>
    <row r="314" spans="1:6" x14ac:dyDescent="0.3">
      <c r="A314" s="2">
        <v>45383</v>
      </c>
      <c r="B314" t="s">
        <v>31</v>
      </c>
      <c r="C314">
        <v>0</v>
      </c>
      <c r="D314" s="10">
        <v>61.4</v>
      </c>
      <c r="E314" s="10">
        <v>0</v>
      </c>
      <c r="F314" t="s">
        <v>75</v>
      </c>
    </row>
    <row r="315" spans="1:6" x14ac:dyDescent="0.3">
      <c r="A315" s="2">
        <v>45413</v>
      </c>
      <c r="B315" t="s">
        <v>31</v>
      </c>
      <c r="C315">
        <v>350</v>
      </c>
      <c r="D315" s="10">
        <v>61.4</v>
      </c>
      <c r="E315" s="10">
        <v>21490</v>
      </c>
      <c r="F315" t="s">
        <v>75</v>
      </c>
    </row>
    <row r="316" spans="1:6" x14ac:dyDescent="0.3">
      <c r="A316" s="2">
        <v>45444</v>
      </c>
      <c r="B316" t="s">
        <v>31</v>
      </c>
      <c r="C316">
        <v>400</v>
      </c>
      <c r="D316" s="10">
        <v>61.4</v>
      </c>
      <c r="E316" s="10">
        <v>24560</v>
      </c>
      <c r="F316" t="s">
        <v>75</v>
      </c>
    </row>
    <row r="317" spans="1:6" x14ac:dyDescent="0.3">
      <c r="A317" s="2">
        <v>45474</v>
      </c>
      <c r="B317" t="s">
        <v>31</v>
      </c>
      <c r="C317">
        <v>300</v>
      </c>
      <c r="D317" s="10">
        <v>61.4</v>
      </c>
      <c r="E317" s="10">
        <v>18420</v>
      </c>
      <c r="F317" t="s">
        <v>75</v>
      </c>
    </row>
    <row r="318" spans="1:6" x14ac:dyDescent="0.3">
      <c r="A318" s="2">
        <v>45505</v>
      </c>
      <c r="B318" t="s">
        <v>31</v>
      </c>
      <c r="C318">
        <v>400</v>
      </c>
      <c r="D318" s="10">
        <v>61.4</v>
      </c>
      <c r="E318" s="10">
        <v>24560</v>
      </c>
      <c r="F318" t="s">
        <v>75</v>
      </c>
    </row>
    <row r="319" spans="1:6" x14ac:dyDescent="0.3">
      <c r="A319" s="2">
        <v>45536</v>
      </c>
      <c r="B319" t="s">
        <v>31</v>
      </c>
      <c r="C319">
        <v>400</v>
      </c>
      <c r="D319" s="10">
        <v>61.4</v>
      </c>
      <c r="E319" s="10">
        <v>24560</v>
      </c>
      <c r="F319" t="s">
        <v>75</v>
      </c>
    </row>
    <row r="320" spans="1:6" x14ac:dyDescent="0.3">
      <c r="A320" s="2">
        <v>45566</v>
      </c>
      <c r="B320" t="s">
        <v>31</v>
      </c>
      <c r="C320">
        <v>200</v>
      </c>
      <c r="D320" s="10">
        <v>61.4</v>
      </c>
      <c r="E320" s="10">
        <v>12280</v>
      </c>
      <c r="F320" t="s">
        <v>75</v>
      </c>
    </row>
    <row r="321" spans="1:6" x14ac:dyDescent="0.3">
      <c r="A321" s="2">
        <v>45597</v>
      </c>
      <c r="B321" t="s">
        <v>31</v>
      </c>
      <c r="C321">
        <v>550</v>
      </c>
      <c r="D321" s="10">
        <v>67.42</v>
      </c>
      <c r="E321" s="10">
        <v>37081</v>
      </c>
      <c r="F321" t="s">
        <v>75</v>
      </c>
    </row>
    <row r="322" spans="1:6" x14ac:dyDescent="0.3">
      <c r="A322" s="2">
        <v>45627</v>
      </c>
      <c r="B322" t="s">
        <v>31</v>
      </c>
      <c r="C322">
        <v>400</v>
      </c>
      <c r="D322" s="10">
        <v>67.42</v>
      </c>
      <c r="E322" s="10">
        <v>26968</v>
      </c>
      <c r="F322" t="s">
        <v>75</v>
      </c>
    </row>
    <row r="323" spans="1:6" x14ac:dyDescent="0.3">
      <c r="A323" s="2">
        <v>45658</v>
      </c>
      <c r="B323" t="s">
        <v>31</v>
      </c>
      <c r="C323">
        <v>1225</v>
      </c>
      <c r="D323" s="10">
        <v>67.42</v>
      </c>
      <c r="E323" s="10">
        <v>82589.5</v>
      </c>
      <c r="F323" t="s">
        <v>75</v>
      </c>
    </row>
    <row r="324" spans="1:6" x14ac:dyDescent="0.3">
      <c r="A324" s="2">
        <v>45689</v>
      </c>
      <c r="B324" t="s">
        <v>31</v>
      </c>
      <c r="C324">
        <v>0</v>
      </c>
      <c r="D324" s="10">
        <v>67.42</v>
      </c>
      <c r="E324" s="10">
        <v>0</v>
      </c>
      <c r="F324" t="s">
        <v>75</v>
      </c>
    </row>
    <row r="325" spans="1:6" x14ac:dyDescent="0.3">
      <c r="A325" s="2">
        <v>45717</v>
      </c>
      <c r="B325" t="s">
        <v>31</v>
      </c>
      <c r="C325">
        <v>0</v>
      </c>
      <c r="D325" s="10">
        <v>67.42</v>
      </c>
      <c r="E325" s="10">
        <v>0</v>
      </c>
      <c r="F325" t="s">
        <v>75</v>
      </c>
    </row>
    <row r="326" spans="1:6" x14ac:dyDescent="0.3">
      <c r="A326" s="2">
        <v>45383</v>
      </c>
      <c r="B326" t="s">
        <v>32</v>
      </c>
      <c r="C326">
        <v>0</v>
      </c>
      <c r="D326" s="10">
        <v>3356.16</v>
      </c>
      <c r="E326" s="10">
        <v>0</v>
      </c>
      <c r="F326" t="s">
        <v>76</v>
      </c>
    </row>
    <row r="327" spans="1:6" x14ac:dyDescent="0.3">
      <c r="A327" s="2">
        <v>45413</v>
      </c>
      <c r="B327" t="s">
        <v>32</v>
      </c>
      <c r="C327">
        <v>0</v>
      </c>
      <c r="D327" s="10">
        <v>3356.16</v>
      </c>
      <c r="E327" s="10">
        <v>0</v>
      </c>
      <c r="F327" t="s">
        <v>76</v>
      </c>
    </row>
    <row r="328" spans="1:6" x14ac:dyDescent="0.3">
      <c r="A328" s="2">
        <v>45444</v>
      </c>
      <c r="B328" t="s">
        <v>32</v>
      </c>
      <c r="C328">
        <v>12</v>
      </c>
      <c r="D328" s="10">
        <v>3356.16</v>
      </c>
      <c r="E328" s="10">
        <v>40273.919999999998</v>
      </c>
      <c r="F328" t="s">
        <v>76</v>
      </c>
    </row>
    <row r="329" spans="1:6" x14ac:dyDescent="0.3">
      <c r="A329" s="2">
        <v>45474</v>
      </c>
      <c r="B329" t="s">
        <v>32</v>
      </c>
      <c r="C329">
        <v>0</v>
      </c>
      <c r="D329" s="10">
        <v>3356.16</v>
      </c>
      <c r="E329" s="10">
        <v>0</v>
      </c>
      <c r="F329" t="s">
        <v>76</v>
      </c>
    </row>
    <row r="330" spans="1:6" x14ac:dyDescent="0.3">
      <c r="A330" s="2">
        <v>45505</v>
      </c>
      <c r="B330" t="s">
        <v>32</v>
      </c>
      <c r="C330">
        <v>15</v>
      </c>
      <c r="D330" s="10">
        <v>3338.920666666666</v>
      </c>
      <c r="E330" s="10">
        <v>50083.81</v>
      </c>
      <c r="F330" t="s">
        <v>76</v>
      </c>
    </row>
    <row r="331" spans="1:6" x14ac:dyDescent="0.3">
      <c r="A331" s="2">
        <v>45536</v>
      </c>
      <c r="B331" t="s">
        <v>32</v>
      </c>
      <c r="C331">
        <v>0</v>
      </c>
      <c r="D331" s="10">
        <v>3338.920666666666</v>
      </c>
      <c r="E331" s="10">
        <v>0</v>
      </c>
      <c r="F331" t="s">
        <v>76</v>
      </c>
    </row>
    <row r="332" spans="1:6" x14ac:dyDescent="0.3">
      <c r="A332" s="2">
        <v>45566</v>
      </c>
      <c r="B332" t="s">
        <v>32</v>
      </c>
      <c r="C332">
        <v>-1</v>
      </c>
      <c r="D332" s="10">
        <v>3338.92</v>
      </c>
      <c r="E332" s="10">
        <v>-3338.92</v>
      </c>
      <c r="F332" t="s">
        <v>76</v>
      </c>
    </row>
    <row r="333" spans="1:6" x14ac:dyDescent="0.3">
      <c r="A333" s="2">
        <v>45597</v>
      </c>
      <c r="B333" t="s">
        <v>32</v>
      </c>
      <c r="C333">
        <v>33</v>
      </c>
      <c r="D333" s="10">
        <v>3339.1603030303031</v>
      </c>
      <c r="E333" s="10">
        <v>110192.29</v>
      </c>
      <c r="F333" t="s">
        <v>76</v>
      </c>
    </row>
    <row r="334" spans="1:6" x14ac:dyDescent="0.3">
      <c r="A334" s="2">
        <v>45627</v>
      </c>
      <c r="B334" t="s">
        <v>32</v>
      </c>
      <c r="C334">
        <v>10</v>
      </c>
      <c r="D334" s="10">
        <v>3066.48</v>
      </c>
      <c r="E334" s="10">
        <v>30664.799999999999</v>
      </c>
      <c r="F334" t="s">
        <v>76</v>
      </c>
    </row>
    <row r="335" spans="1:6" x14ac:dyDescent="0.3">
      <c r="A335" s="2">
        <v>45658</v>
      </c>
      <c r="B335" t="s">
        <v>32</v>
      </c>
      <c r="C335">
        <v>12</v>
      </c>
      <c r="D335" s="10">
        <v>3339.086666666667</v>
      </c>
      <c r="E335" s="10">
        <v>40069.040000000001</v>
      </c>
      <c r="F335" t="s">
        <v>76</v>
      </c>
    </row>
    <row r="336" spans="1:6" x14ac:dyDescent="0.3">
      <c r="A336" s="2">
        <v>45689</v>
      </c>
      <c r="B336" t="s">
        <v>32</v>
      </c>
      <c r="C336">
        <v>0</v>
      </c>
      <c r="D336" s="10">
        <v>3339.086666666667</v>
      </c>
      <c r="E336" s="10">
        <v>0</v>
      </c>
      <c r="F336" t="s">
        <v>76</v>
      </c>
    </row>
    <row r="337" spans="1:6" x14ac:dyDescent="0.3">
      <c r="A337" s="2">
        <v>45717</v>
      </c>
      <c r="B337" t="s">
        <v>32</v>
      </c>
      <c r="C337">
        <v>0</v>
      </c>
      <c r="D337" s="10">
        <v>3339.086666666667</v>
      </c>
      <c r="E337" s="10">
        <v>0</v>
      </c>
      <c r="F337" t="s">
        <v>76</v>
      </c>
    </row>
    <row r="338" spans="1:6" x14ac:dyDescent="0.3">
      <c r="A338" s="2">
        <v>45383</v>
      </c>
      <c r="B338" t="s">
        <v>33</v>
      </c>
      <c r="C338">
        <v>4800</v>
      </c>
      <c r="D338" s="10">
        <v>3.51</v>
      </c>
      <c r="E338" s="10">
        <v>16848</v>
      </c>
      <c r="F338" t="s">
        <v>76</v>
      </c>
    </row>
    <row r="339" spans="1:6" x14ac:dyDescent="0.3">
      <c r="A339" s="2">
        <v>45413</v>
      </c>
      <c r="B339" t="s">
        <v>33</v>
      </c>
      <c r="C339">
        <v>9600</v>
      </c>
      <c r="D339" s="10">
        <v>3.51</v>
      </c>
      <c r="E339" s="10">
        <v>33696</v>
      </c>
      <c r="F339" t="s">
        <v>76</v>
      </c>
    </row>
    <row r="340" spans="1:6" x14ac:dyDescent="0.3">
      <c r="A340" s="2">
        <v>45444</v>
      </c>
      <c r="B340" t="s">
        <v>33</v>
      </c>
      <c r="C340">
        <v>8000</v>
      </c>
      <c r="D340" s="10">
        <v>3.51</v>
      </c>
      <c r="E340" s="10">
        <v>28080</v>
      </c>
      <c r="F340" t="s">
        <v>76</v>
      </c>
    </row>
    <row r="341" spans="1:6" x14ac:dyDescent="0.3">
      <c r="A341" s="2">
        <v>45474</v>
      </c>
      <c r="B341" t="s">
        <v>33</v>
      </c>
      <c r="C341">
        <v>9600</v>
      </c>
      <c r="D341" s="10">
        <v>3.51</v>
      </c>
      <c r="E341" s="10">
        <v>33696</v>
      </c>
      <c r="F341" t="s">
        <v>76</v>
      </c>
    </row>
    <row r="342" spans="1:6" x14ac:dyDescent="0.3">
      <c r="A342" s="2">
        <v>45505</v>
      </c>
      <c r="B342" t="s">
        <v>33</v>
      </c>
      <c r="C342">
        <v>12800</v>
      </c>
      <c r="D342" s="10">
        <v>3.51</v>
      </c>
      <c r="E342" s="10">
        <v>44928</v>
      </c>
      <c r="F342" t="s">
        <v>76</v>
      </c>
    </row>
    <row r="343" spans="1:6" x14ac:dyDescent="0.3">
      <c r="A343" s="2">
        <v>45536</v>
      </c>
      <c r="B343" t="s">
        <v>33</v>
      </c>
      <c r="C343">
        <v>0</v>
      </c>
      <c r="D343" s="10">
        <v>3.51</v>
      </c>
      <c r="E343" s="10">
        <v>0</v>
      </c>
      <c r="F343" t="s">
        <v>76</v>
      </c>
    </row>
    <row r="344" spans="1:6" x14ac:dyDescent="0.3">
      <c r="A344" s="2">
        <v>45566</v>
      </c>
      <c r="B344" t="s">
        <v>33</v>
      </c>
      <c r="C344">
        <v>8000</v>
      </c>
      <c r="D344" s="10">
        <v>3.6120000000000001</v>
      </c>
      <c r="E344" s="10">
        <v>28896</v>
      </c>
      <c r="F344" t="s">
        <v>76</v>
      </c>
    </row>
    <row r="345" spans="1:6" x14ac:dyDescent="0.3">
      <c r="A345" s="2">
        <v>45597</v>
      </c>
      <c r="B345" t="s">
        <v>33</v>
      </c>
      <c r="C345">
        <v>4800</v>
      </c>
      <c r="D345" s="10">
        <v>3.74</v>
      </c>
      <c r="E345" s="10">
        <v>17952</v>
      </c>
      <c r="F345" t="s">
        <v>76</v>
      </c>
    </row>
    <row r="346" spans="1:6" x14ac:dyDescent="0.3">
      <c r="A346" s="2">
        <v>45627</v>
      </c>
      <c r="B346" t="s">
        <v>33</v>
      </c>
      <c r="C346">
        <v>6400</v>
      </c>
      <c r="D346" s="10">
        <v>3.74</v>
      </c>
      <c r="E346" s="10">
        <v>23936</v>
      </c>
      <c r="F346" t="s">
        <v>76</v>
      </c>
    </row>
    <row r="347" spans="1:6" x14ac:dyDescent="0.3">
      <c r="A347" s="2">
        <v>45658</v>
      </c>
      <c r="B347" t="s">
        <v>33</v>
      </c>
      <c r="C347">
        <v>0</v>
      </c>
      <c r="D347" s="10">
        <v>3.74</v>
      </c>
      <c r="E347" s="10">
        <v>0</v>
      </c>
      <c r="F347" t="s">
        <v>76</v>
      </c>
    </row>
    <row r="348" spans="1:6" x14ac:dyDescent="0.3">
      <c r="A348" s="2">
        <v>45689</v>
      </c>
      <c r="B348" t="s">
        <v>33</v>
      </c>
      <c r="C348">
        <v>0</v>
      </c>
      <c r="D348" s="10">
        <v>3.74</v>
      </c>
      <c r="E348" s="10">
        <v>0</v>
      </c>
      <c r="F348" t="s">
        <v>76</v>
      </c>
    </row>
    <row r="349" spans="1:6" x14ac:dyDescent="0.3">
      <c r="A349" s="2">
        <v>45717</v>
      </c>
      <c r="B349" t="s">
        <v>33</v>
      </c>
      <c r="C349">
        <v>8000</v>
      </c>
      <c r="D349" s="10">
        <v>3.74</v>
      </c>
      <c r="E349" s="10">
        <v>29920</v>
      </c>
      <c r="F349" t="s">
        <v>76</v>
      </c>
    </row>
    <row r="350" spans="1:6" x14ac:dyDescent="0.3">
      <c r="A350" s="2">
        <v>45383</v>
      </c>
      <c r="B350" t="s">
        <v>34</v>
      </c>
      <c r="C350">
        <v>0</v>
      </c>
      <c r="D350" s="10">
        <v>3.75</v>
      </c>
      <c r="E350" s="10">
        <v>0</v>
      </c>
      <c r="F350" t="s">
        <v>76</v>
      </c>
    </row>
    <row r="351" spans="1:6" x14ac:dyDescent="0.3">
      <c r="A351" s="2">
        <v>45413</v>
      </c>
      <c r="B351" t="s">
        <v>34</v>
      </c>
      <c r="C351">
        <v>0</v>
      </c>
      <c r="D351" s="10">
        <v>3.75</v>
      </c>
      <c r="E351" s="10">
        <v>0</v>
      </c>
      <c r="F351" t="s">
        <v>76</v>
      </c>
    </row>
    <row r="352" spans="1:6" x14ac:dyDescent="0.3">
      <c r="A352" s="2">
        <v>45444</v>
      </c>
      <c r="B352" t="s">
        <v>34</v>
      </c>
      <c r="C352">
        <v>58000</v>
      </c>
      <c r="D352" s="10">
        <v>3.75</v>
      </c>
      <c r="E352" s="10">
        <v>217500</v>
      </c>
      <c r="F352" t="s">
        <v>76</v>
      </c>
    </row>
    <row r="353" spans="1:6" x14ac:dyDescent="0.3">
      <c r="A353" s="2">
        <v>45474</v>
      </c>
      <c r="B353" t="s">
        <v>34</v>
      </c>
      <c r="C353">
        <v>0</v>
      </c>
      <c r="D353" s="10">
        <v>3.75</v>
      </c>
      <c r="E353" s="10">
        <v>0</v>
      </c>
      <c r="F353" t="s">
        <v>76</v>
      </c>
    </row>
    <row r="354" spans="1:6" x14ac:dyDescent="0.3">
      <c r="A354" s="2">
        <v>45505</v>
      </c>
      <c r="B354" t="s">
        <v>34</v>
      </c>
      <c r="C354">
        <v>0</v>
      </c>
      <c r="D354" s="10">
        <v>3.75</v>
      </c>
      <c r="E354" s="10">
        <v>0</v>
      </c>
      <c r="F354" t="s">
        <v>76</v>
      </c>
    </row>
    <row r="355" spans="1:6" x14ac:dyDescent="0.3">
      <c r="A355" s="2">
        <v>45536</v>
      </c>
      <c r="B355" t="s">
        <v>34</v>
      </c>
      <c r="C355">
        <v>0</v>
      </c>
      <c r="D355" s="10">
        <v>3.75</v>
      </c>
      <c r="E355" s="10">
        <v>0</v>
      </c>
      <c r="F355" t="s">
        <v>76</v>
      </c>
    </row>
    <row r="356" spans="1:6" x14ac:dyDescent="0.3">
      <c r="A356" s="2">
        <v>45566</v>
      </c>
      <c r="B356" t="s">
        <v>34</v>
      </c>
      <c r="C356">
        <v>0</v>
      </c>
      <c r="D356" s="10">
        <v>3.75</v>
      </c>
      <c r="E356" s="10">
        <v>0</v>
      </c>
      <c r="F356" t="s">
        <v>76</v>
      </c>
    </row>
    <row r="357" spans="1:6" x14ac:dyDescent="0.3">
      <c r="A357" s="2">
        <v>45597</v>
      </c>
      <c r="B357" t="s">
        <v>34</v>
      </c>
      <c r="C357">
        <v>0</v>
      </c>
      <c r="D357" s="10">
        <v>3.75</v>
      </c>
      <c r="E357" s="10">
        <v>0</v>
      </c>
      <c r="F357" t="s">
        <v>76</v>
      </c>
    </row>
    <row r="358" spans="1:6" x14ac:dyDescent="0.3">
      <c r="A358" s="2">
        <v>45627</v>
      </c>
      <c r="B358" t="s">
        <v>34</v>
      </c>
      <c r="C358">
        <v>0</v>
      </c>
      <c r="D358" s="10">
        <v>3.75</v>
      </c>
      <c r="E358" s="10">
        <v>0</v>
      </c>
      <c r="F358" t="s">
        <v>76</v>
      </c>
    </row>
    <row r="359" spans="1:6" x14ac:dyDescent="0.3">
      <c r="A359" s="2">
        <v>45658</v>
      </c>
      <c r="B359" t="s">
        <v>34</v>
      </c>
      <c r="C359">
        <v>0</v>
      </c>
      <c r="D359" s="10">
        <v>3.75</v>
      </c>
      <c r="E359" s="10">
        <v>0</v>
      </c>
      <c r="F359" t="s">
        <v>76</v>
      </c>
    </row>
    <row r="360" spans="1:6" x14ac:dyDescent="0.3">
      <c r="A360" s="2">
        <v>45689</v>
      </c>
      <c r="B360" t="s">
        <v>34</v>
      </c>
      <c r="C360">
        <v>0</v>
      </c>
      <c r="D360" s="10">
        <v>3.75</v>
      </c>
      <c r="E360" s="10">
        <v>0</v>
      </c>
      <c r="F360" t="s">
        <v>76</v>
      </c>
    </row>
    <row r="361" spans="1:6" x14ac:dyDescent="0.3">
      <c r="A361" s="2">
        <v>45717</v>
      </c>
      <c r="B361" t="s">
        <v>34</v>
      </c>
      <c r="C361">
        <v>0</v>
      </c>
      <c r="D361" s="10">
        <v>3.75</v>
      </c>
      <c r="E361" s="10">
        <v>0</v>
      </c>
      <c r="F361" t="s">
        <v>76</v>
      </c>
    </row>
    <row r="362" spans="1:6" x14ac:dyDescent="0.3">
      <c r="A362" s="2">
        <v>45383</v>
      </c>
      <c r="B362" t="s">
        <v>35</v>
      </c>
      <c r="C362">
        <v>2640</v>
      </c>
      <c r="D362" s="10">
        <v>11.9</v>
      </c>
      <c r="E362" s="10">
        <v>31416</v>
      </c>
      <c r="F362" t="s">
        <v>76</v>
      </c>
    </row>
    <row r="363" spans="1:6" x14ac:dyDescent="0.3">
      <c r="A363" s="2">
        <v>45413</v>
      </c>
      <c r="B363" t="s">
        <v>35</v>
      </c>
      <c r="C363">
        <v>9720</v>
      </c>
      <c r="D363" s="10">
        <v>11.9</v>
      </c>
      <c r="E363" s="10">
        <v>115668</v>
      </c>
      <c r="F363" t="s">
        <v>76</v>
      </c>
    </row>
    <row r="364" spans="1:6" x14ac:dyDescent="0.3">
      <c r="A364" s="2">
        <v>45444</v>
      </c>
      <c r="B364" t="s">
        <v>35</v>
      </c>
      <c r="C364">
        <v>5448</v>
      </c>
      <c r="D364" s="10">
        <v>11.9</v>
      </c>
      <c r="E364" s="10">
        <v>64831.19999999999</v>
      </c>
      <c r="F364" t="s">
        <v>76</v>
      </c>
    </row>
    <row r="365" spans="1:6" x14ac:dyDescent="0.3">
      <c r="A365" s="2">
        <v>45474</v>
      </c>
      <c r="B365" t="s">
        <v>35</v>
      </c>
      <c r="C365">
        <v>0</v>
      </c>
      <c r="D365" s="10">
        <v>11.9</v>
      </c>
      <c r="E365" s="10">
        <v>0</v>
      </c>
      <c r="F365" t="s">
        <v>76</v>
      </c>
    </row>
    <row r="366" spans="1:6" x14ac:dyDescent="0.3">
      <c r="A366" s="2">
        <v>45505</v>
      </c>
      <c r="B366" t="s">
        <v>35</v>
      </c>
      <c r="C366">
        <v>0</v>
      </c>
      <c r="D366" s="10">
        <v>11.9</v>
      </c>
      <c r="E366" s="10">
        <v>0</v>
      </c>
      <c r="F366" t="s">
        <v>76</v>
      </c>
    </row>
    <row r="367" spans="1:6" x14ac:dyDescent="0.3">
      <c r="A367" s="2">
        <v>45536</v>
      </c>
      <c r="B367" t="s">
        <v>35</v>
      </c>
      <c r="C367">
        <v>0</v>
      </c>
      <c r="D367" s="10">
        <v>11.9</v>
      </c>
      <c r="E367" s="10">
        <v>0</v>
      </c>
      <c r="F367" t="s">
        <v>76</v>
      </c>
    </row>
    <row r="368" spans="1:6" x14ac:dyDescent="0.3">
      <c r="A368" s="2">
        <v>45566</v>
      </c>
      <c r="B368" t="s">
        <v>35</v>
      </c>
      <c r="C368">
        <v>0</v>
      </c>
      <c r="D368" s="10">
        <v>11.9</v>
      </c>
      <c r="E368" s="10">
        <v>0</v>
      </c>
      <c r="F368" t="s">
        <v>76</v>
      </c>
    </row>
    <row r="369" spans="1:6" x14ac:dyDescent="0.3">
      <c r="A369" s="2">
        <v>45597</v>
      </c>
      <c r="B369" t="s">
        <v>35</v>
      </c>
      <c r="C369">
        <v>0</v>
      </c>
      <c r="D369" s="10">
        <v>11.9</v>
      </c>
      <c r="E369" s="10">
        <v>0</v>
      </c>
      <c r="F369" t="s">
        <v>76</v>
      </c>
    </row>
    <row r="370" spans="1:6" x14ac:dyDescent="0.3">
      <c r="A370" s="2">
        <v>45627</v>
      </c>
      <c r="B370" t="s">
        <v>35</v>
      </c>
      <c r="C370">
        <v>0</v>
      </c>
      <c r="D370" s="10">
        <v>11.9</v>
      </c>
      <c r="E370" s="10">
        <v>0</v>
      </c>
      <c r="F370" t="s">
        <v>76</v>
      </c>
    </row>
    <row r="371" spans="1:6" x14ac:dyDescent="0.3">
      <c r="A371" s="2">
        <v>45658</v>
      </c>
      <c r="B371" t="s">
        <v>35</v>
      </c>
      <c r="C371">
        <v>0</v>
      </c>
      <c r="D371" s="10">
        <v>11.9</v>
      </c>
      <c r="E371" s="10">
        <v>0</v>
      </c>
      <c r="F371" t="s">
        <v>76</v>
      </c>
    </row>
    <row r="372" spans="1:6" x14ac:dyDescent="0.3">
      <c r="A372" s="2">
        <v>45689</v>
      </c>
      <c r="B372" t="s">
        <v>35</v>
      </c>
      <c r="C372">
        <v>0</v>
      </c>
      <c r="D372" s="10">
        <v>11.9</v>
      </c>
      <c r="E372" s="10">
        <v>0</v>
      </c>
      <c r="F372" t="s">
        <v>76</v>
      </c>
    </row>
    <row r="373" spans="1:6" x14ac:dyDescent="0.3">
      <c r="A373" s="2">
        <v>45717</v>
      </c>
      <c r="B373" t="s">
        <v>35</v>
      </c>
      <c r="C373">
        <v>0</v>
      </c>
      <c r="D373" s="10">
        <v>11.9</v>
      </c>
      <c r="E373" s="10">
        <v>0</v>
      </c>
      <c r="F373" t="s">
        <v>76</v>
      </c>
    </row>
    <row r="374" spans="1:6" x14ac:dyDescent="0.3">
      <c r="A374" s="2">
        <v>45383</v>
      </c>
      <c r="B374" t="s">
        <v>36</v>
      </c>
      <c r="C374">
        <v>2000</v>
      </c>
      <c r="D374" s="10">
        <v>14.1904</v>
      </c>
      <c r="E374" s="10">
        <v>28380.799999999999</v>
      </c>
      <c r="F374" t="s">
        <v>75</v>
      </c>
    </row>
    <row r="375" spans="1:6" x14ac:dyDescent="0.3">
      <c r="A375" s="2">
        <v>45413</v>
      </c>
      <c r="B375" t="s">
        <v>36</v>
      </c>
      <c r="C375">
        <v>1000</v>
      </c>
      <c r="D375" s="10">
        <v>14.1904</v>
      </c>
      <c r="E375" s="10">
        <v>14190.4</v>
      </c>
      <c r="F375" t="s">
        <v>75</v>
      </c>
    </row>
    <row r="376" spans="1:6" x14ac:dyDescent="0.3">
      <c r="A376" s="2">
        <v>45444</v>
      </c>
      <c r="B376" t="s">
        <v>36</v>
      </c>
      <c r="C376">
        <v>1500</v>
      </c>
      <c r="D376" s="10">
        <v>14.1904</v>
      </c>
      <c r="E376" s="10">
        <v>21285.599999999999</v>
      </c>
      <c r="F376" t="s">
        <v>75</v>
      </c>
    </row>
    <row r="377" spans="1:6" x14ac:dyDescent="0.3">
      <c r="A377" s="2">
        <v>45474</v>
      </c>
      <c r="B377" t="s">
        <v>36</v>
      </c>
      <c r="C377">
        <v>1500</v>
      </c>
      <c r="D377" s="10">
        <v>14.1904</v>
      </c>
      <c r="E377" s="10">
        <v>21285.599999999999</v>
      </c>
      <c r="F377" t="s">
        <v>75</v>
      </c>
    </row>
    <row r="378" spans="1:6" x14ac:dyDescent="0.3">
      <c r="A378" s="2">
        <v>45505</v>
      </c>
      <c r="B378" t="s">
        <v>36</v>
      </c>
      <c r="C378">
        <v>2500</v>
      </c>
      <c r="D378" s="10">
        <v>14.1904</v>
      </c>
      <c r="E378" s="10">
        <v>35476</v>
      </c>
      <c r="F378" t="s">
        <v>75</v>
      </c>
    </row>
    <row r="379" spans="1:6" x14ac:dyDescent="0.3">
      <c r="A379" s="2">
        <v>45536</v>
      </c>
      <c r="B379" t="s">
        <v>36</v>
      </c>
      <c r="C379">
        <v>1375</v>
      </c>
      <c r="D379" s="10">
        <v>14.1904</v>
      </c>
      <c r="E379" s="10">
        <v>19511.8</v>
      </c>
      <c r="F379" t="s">
        <v>75</v>
      </c>
    </row>
    <row r="380" spans="1:6" x14ac:dyDescent="0.3">
      <c r="A380" s="2">
        <v>45566</v>
      </c>
      <c r="B380" t="s">
        <v>36</v>
      </c>
      <c r="C380">
        <v>1000</v>
      </c>
      <c r="D380" s="10">
        <v>14.1904</v>
      </c>
      <c r="E380" s="10">
        <v>14190.4</v>
      </c>
      <c r="F380" t="s">
        <v>75</v>
      </c>
    </row>
    <row r="381" spans="1:6" x14ac:dyDescent="0.3">
      <c r="A381" s="2">
        <v>45597</v>
      </c>
      <c r="B381" t="s">
        <v>36</v>
      </c>
      <c r="C381">
        <v>1000</v>
      </c>
      <c r="D381" s="10">
        <v>14.1904</v>
      </c>
      <c r="E381" s="10">
        <v>14190.4</v>
      </c>
      <c r="F381" t="s">
        <v>75</v>
      </c>
    </row>
    <row r="382" spans="1:6" x14ac:dyDescent="0.3">
      <c r="A382" s="2">
        <v>45627</v>
      </c>
      <c r="B382" t="s">
        <v>36</v>
      </c>
      <c r="C382">
        <v>0</v>
      </c>
      <c r="D382" s="10">
        <v>14.1904</v>
      </c>
      <c r="E382" s="10">
        <v>0</v>
      </c>
      <c r="F382" t="s">
        <v>75</v>
      </c>
    </row>
    <row r="383" spans="1:6" x14ac:dyDescent="0.3">
      <c r="A383" s="2">
        <v>45658</v>
      </c>
      <c r="B383" t="s">
        <v>36</v>
      </c>
      <c r="C383">
        <v>1500</v>
      </c>
      <c r="D383" s="10">
        <v>14.1904</v>
      </c>
      <c r="E383" s="10">
        <v>21285.599999999999</v>
      </c>
      <c r="F383" t="s">
        <v>75</v>
      </c>
    </row>
    <row r="384" spans="1:6" x14ac:dyDescent="0.3">
      <c r="A384" s="2">
        <v>45689</v>
      </c>
      <c r="B384" t="s">
        <v>36</v>
      </c>
      <c r="C384">
        <v>0</v>
      </c>
      <c r="D384" s="10">
        <v>14.1904</v>
      </c>
      <c r="E384" s="10">
        <v>0</v>
      </c>
      <c r="F384" t="s">
        <v>75</v>
      </c>
    </row>
    <row r="385" spans="1:6" x14ac:dyDescent="0.3">
      <c r="A385" s="2">
        <v>45717</v>
      </c>
      <c r="B385" t="s">
        <v>36</v>
      </c>
      <c r="C385">
        <v>1500</v>
      </c>
      <c r="D385" s="10">
        <v>14.1904</v>
      </c>
      <c r="E385" s="10">
        <v>21285.599999999999</v>
      </c>
      <c r="F385" t="s">
        <v>75</v>
      </c>
    </row>
    <row r="386" spans="1:6" x14ac:dyDescent="0.3">
      <c r="A386" s="2">
        <v>45383</v>
      </c>
      <c r="B386" t="s">
        <v>37</v>
      </c>
      <c r="C386">
        <v>80</v>
      </c>
      <c r="D386" s="10">
        <v>222</v>
      </c>
      <c r="E386" s="10">
        <v>17760</v>
      </c>
      <c r="F386" t="s">
        <v>75</v>
      </c>
    </row>
    <row r="387" spans="1:6" x14ac:dyDescent="0.3">
      <c r="A387" s="2">
        <v>45413</v>
      </c>
      <c r="B387" t="s">
        <v>37</v>
      </c>
      <c r="C387">
        <v>240</v>
      </c>
      <c r="D387" s="10">
        <v>222</v>
      </c>
      <c r="E387" s="10">
        <v>53280</v>
      </c>
      <c r="F387" t="s">
        <v>75</v>
      </c>
    </row>
    <row r="388" spans="1:6" x14ac:dyDescent="0.3">
      <c r="A388" s="2">
        <v>45444</v>
      </c>
      <c r="B388" t="s">
        <v>37</v>
      </c>
      <c r="C388">
        <v>0</v>
      </c>
      <c r="D388" s="10">
        <v>222</v>
      </c>
      <c r="E388" s="10">
        <v>0</v>
      </c>
      <c r="F388" t="s">
        <v>75</v>
      </c>
    </row>
    <row r="389" spans="1:6" x14ac:dyDescent="0.3">
      <c r="A389" s="2">
        <v>45474</v>
      </c>
      <c r="B389" t="s">
        <v>37</v>
      </c>
      <c r="C389">
        <v>192</v>
      </c>
      <c r="D389" s="10">
        <v>215.34</v>
      </c>
      <c r="E389" s="10">
        <v>41345.279999999999</v>
      </c>
      <c r="F389" t="s">
        <v>75</v>
      </c>
    </row>
    <row r="390" spans="1:6" x14ac:dyDescent="0.3">
      <c r="A390" s="2">
        <v>45505</v>
      </c>
      <c r="B390" t="s">
        <v>37</v>
      </c>
      <c r="C390">
        <v>0</v>
      </c>
      <c r="D390" s="10">
        <v>215.34</v>
      </c>
      <c r="E390" s="10">
        <v>0</v>
      </c>
      <c r="F390" t="s">
        <v>75</v>
      </c>
    </row>
    <row r="391" spans="1:6" x14ac:dyDescent="0.3">
      <c r="A391" s="2">
        <v>45536</v>
      </c>
      <c r="B391" t="s">
        <v>37</v>
      </c>
      <c r="C391">
        <v>0</v>
      </c>
      <c r="D391" s="10">
        <v>215.34</v>
      </c>
      <c r="E391" s="10">
        <v>0</v>
      </c>
      <c r="F391" t="s">
        <v>75</v>
      </c>
    </row>
    <row r="392" spans="1:6" x14ac:dyDescent="0.3">
      <c r="A392" s="2">
        <v>45566</v>
      </c>
      <c r="B392" t="s">
        <v>37</v>
      </c>
      <c r="C392">
        <v>0</v>
      </c>
      <c r="D392" s="10">
        <v>215.34</v>
      </c>
      <c r="E392" s="10">
        <v>0</v>
      </c>
      <c r="F392" t="s">
        <v>75</v>
      </c>
    </row>
    <row r="393" spans="1:6" x14ac:dyDescent="0.3">
      <c r="A393" s="2">
        <v>45597</v>
      </c>
      <c r="B393" t="s">
        <v>37</v>
      </c>
      <c r="C393">
        <v>0</v>
      </c>
      <c r="D393" s="10">
        <v>215.34</v>
      </c>
      <c r="E393" s="10">
        <v>0</v>
      </c>
      <c r="F393" t="s">
        <v>75</v>
      </c>
    </row>
    <row r="394" spans="1:6" x14ac:dyDescent="0.3">
      <c r="A394" s="2">
        <v>45627</v>
      </c>
      <c r="B394" t="s">
        <v>37</v>
      </c>
      <c r="C394">
        <v>272</v>
      </c>
      <c r="D394" s="10">
        <v>222</v>
      </c>
      <c r="E394" s="10">
        <v>60384</v>
      </c>
      <c r="F394" t="s">
        <v>75</v>
      </c>
    </row>
    <row r="395" spans="1:6" x14ac:dyDescent="0.3">
      <c r="A395" s="2">
        <v>45658</v>
      </c>
      <c r="B395" t="s">
        <v>37</v>
      </c>
      <c r="C395">
        <v>80</v>
      </c>
      <c r="D395" s="10">
        <v>222</v>
      </c>
      <c r="E395" s="10">
        <v>17760</v>
      </c>
      <c r="F395" t="s">
        <v>75</v>
      </c>
    </row>
    <row r="396" spans="1:6" x14ac:dyDescent="0.3">
      <c r="A396" s="2">
        <v>45689</v>
      </c>
      <c r="B396" t="s">
        <v>37</v>
      </c>
      <c r="C396">
        <v>80</v>
      </c>
      <c r="D396" s="10">
        <v>222</v>
      </c>
      <c r="E396" s="10">
        <v>17760</v>
      </c>
      <c r="F396" t="s">
        <v>75</v>
      </c>
    </row>
    <row r="397" spans="1:6" x14ac:dyDescent="0.3">
      <c r="A397" s="2">
        <v>45717</v>
      </c>
      <c r="B397" t="s">
        <v>37</v>
      </c>
      <c r="C397">
        <v>0</v>
      </c>
      <c r="D397" s="10">
        <v>222</v>
      </c>
      <c r="E397" s="10">
        <v>0</v>
      </c>
      <c r="F397" t="s">
        <v>75</v>
      </c>
    </row>
    <row r="398" spans="1:6" x14ac:dyDescent="0.3">
      <c r="A398" s="2">
        <v>45383</v>
      </c>
      <c r="B398" t="s">
        <v>38</v>
      </c>
      <c r="C398">
        <v>200</v>
      </c>
      <c r="D398" s="10">
        <v>333</v>
      </c>
      <c r="E398" s="10">
        <v>66600</v>
      </c>
      <c r="F398" t="s">
        <v>75</v>
      </c>
    </row>
    <row r="399" spans="1:6" x14ac:dyDescent="0.3">
      <c r="A399" s="2">
        <v>45413</v>
      </c>
      <c r="B399" t="s">
        <v>38</v>
      </c>
      <c r="C399">
        <v>100</v>
      </c>
      <c r="D399" s="10">
        <v>327.2</v>
      </c>
      <c r="E399" s="10">
        <v>32720</v>
      </c>
      <c r="F399" t="s">
        <v>75</v>
      </c>
    </row>
    <row r="400" spans="1:6" x14ac:dyDescent="0.3">
      <c r="A400" s="2">
        <v>45444</v>
      </c>
      <c r="B400" t="s">
        <v>38</v>
      </c>
      <c r="C400">
        <v>5</v>
      </c>
      <c r="D400" s="10">
        <v>343.76600000000002</v>
      </c>
      <c r="E400" s="10">
        <v>1718.83</v>
      </c>
      <c r="F400" t="s">
        <v>75</v>
      </c>
    </row>
    <row r="401" spans="1:6" x14ac:dyDescent="0.3">
      <c r="A401" s="2">
        <v>45474</v>
      </c>
      <c r="B401" t="s">
        <v>38</v>
      </c>
      <c r="C401">
        <v>200</v>
      </c>
      <c r="D401" s="10">
        <v>333</v>
      </c>
      <c r="E401" s="10">
        <v>66600</v>
      </c>
      <c r="F401" t="s">
        <v>75</v>
      </c>
    </row>
    <row r="402" spans="1:6" x14ac:dyDescent="0.3">
      <c r="A402" s="2">
        <v>45505</v>
      </c>
      <c r="B402" t="s">
        <v>38</v>
      </c>
      <c r="C402">
        <v>0</v>
      </c>
      <c r="D402" s="10">
        <v>333</v>
      </c>
      <c r="E402" s="10">
        <v>0</v>
      </c>
      <c r="F402" t="s">
        <v>75</v>
      </c>
    </row>
    <row r="403" spans="1:6" x14ac:dyDescent="0.3">
      <c r="A403" s="2">
        <v>45536</v>
      </c>
      <c r="B403" t="s">
        <v>38</v>
      </c>
      <c r="C403">
        <v>0</v>
      </c>
      <c r="D403" s="10">
        <v>333</v>
      </c>
      <c r="E403" s="10">
        <v>0</v>
      </c>
      <c r="F403" t="s">
        <v>75</v>
      </c>
    </row>
    <row r="404" spans="1:6" x14ac:dyDescent="0.3">
      <c r="A404" s="2">
        <v>45566</v>
      </c>
      <c r="B404" t="s">
        <v>38</v>
      </c>
      <c r="C404">
        <v>0</v>
      </c>
      <c r="D404" s="10">
        <v>333</v>
      </c>
      <c r="E404" s="10">
        <v>0</v>
      </c>
      <c r="F404" t="s">
        <v>75</v>
      </c>
    </row>
    <row r="405" spans="1:6" x14ac:dyDescent="0.3">
      <c r="A405" s="2">
        <v>45597</v>
      </c>
      <c r="B405" t="s">
        <v>38</v>
      </c>
      <c r="C405">
        <v>0</v>
      </c>
      <c r="D405" s="10">
        <v>333</v>
      </c>
      <c r="E405" s="10">
        <v>0</v>
      </c>
      <c r="F405" t="s">
        <v>75</v>
      </c>
    </row>
    <row r="406" spans="1:6" x14ac:dyDescent="0.3">
      <c r="A406" s="2">
        <v>45627</v>
      </c>
      <c r="B406" t="s">
        <v>38</v>
      </c>
      <c r="C406">
        <v>100</v>
      </c>
      <c r="D406" s="10">
        <v>333</v>
      </c>
      <c r="E406" s="10">
        <v>33300</v>
      </c>
      <c r="F406" t="s">
        <v>75</v>
      </c>
    </row>
    <row r="407" spans="1:6" x14ac:dyDescent="0.3">
      <c r="A407" s="2">
        <v>45658</v>
      </c>
      <c r="B407" t="s">
        <v>38</v>
      </c>
      <c r="C407">
        <v>20</v>
      </c>
      <c r="D407" s="10">
        <v>333</v>
      </c>
      <c r="E407" s="10">
        <v>6660</v>
      </c>
      <c r="F407" t="s">
        <v>75</v>
      </c>
    </row>
    <row r="408" spans="1:6" x14ac:dyDescent="0.3">
      <c r="A408" s="2">
        <v>45689</v>
      </c>
      <c r="B408" t="s">
        <v>38</v>
      </c>
      <c r="C408">
        <v>0</v>
      </c>
      <c r="D408" s="10">
        <v>333</v>
      </c>
      <c r="E408" s="10">
        <v>0</v>
      </c>
      <c r="F408" t="s">
        <v>75</v>
      </c>
    </row>
    <row r="409" spans="1:6" x14ac:dyDescent="0.3">
      <c r="A409" s="2">
        <v>45717</v>
      </c>
      <c r="B409" t="s">
        <v>38</v>
      </c>
      <c r="C409">
        <v>0</v>
      </c>
      <c r="D409" s="10">
        <v>333</v>
      </c>
      <c r="E409" s="10">
        <v>0</v>
      </c>
      <c r="F409" t="s">
        <v>75</v>
      </c>
    </row>
    <row r="410" spans="1:6" x14ac:dyDescent="0.3">
      <c r="A410" s="2">
        <v>45383</v>
      </c>
      <c r="B410" t="s">
        <v>39</v>
      </c>
      <c r="C410">
        <v>280</v>
      </c>
      <c r="D410" s="10">
        <v>191</v>
      </c>
      <c r="E410" s="10">
        <v>53480</v>
      </c>
      <c r="F410" t="s">
        <v>75</v>
      </c>
    </row>
    <row r="411" spans="1:6" x14ac:dyDescent="0.3">
      <c r="A411" s="2">
        <v>45413</v>
      </c>
      <c r="B411" t="s">
        <v>39</v>
      </c>
      <c r="C411">
        <v>160</v>
      </c>
      <c r="D411" s="10">
        <v>191</v>
      </c>
      <c r="E411" s="10">
        <v>30560</v>
      </c>
      <c r="F411" t="s">
        <v>75</v>
      </c>
    </row>
    <row r="412" spans="1:6" x14ac:dyDescent="0.3">
      <c r="A412" s="2">
        <v>45444</v>
      </c>
      <c r="B412" t="s">
        <v>39</v>
      </c>
      <c r="C412">
        <v>0</v>
      </c>
      <c r="D412" s="10">
        <v>191</v>
      </c>
      <c r="E412" s="10">
        <v>0</v>
      </c>
      <c r="F412" t="s">
        <v>75</v>
      </c>
    </row>
    <row r="413" spans="1:6" x14ac:dyDescent="0.3">
      <c r="A413" s="2">
        <v>45474</v>
      </c>
      <c r="B413" t="s">
        <v>39</v>
      </c>
      <c r="C413">
        <v>240</v>
      </c>
      <c r="D413" s="10">
        <v>185.27</v>
      </c>
      <c r="E413" s="10">
        <v>44464.800000000003</v>
      </c>
      <c r="F413" t="s">
        <v>75</v>
      </c>
    </row>
    <row r="414" spans="1:6" x14ac:dyDescent="0.3">
      <c r="A414" s="2">
        <v>45505</v>
      </c>
      <c r="B414" t="s">
        <v>39</v>
      </c>
      <c r="C414">
        <v>0</v>
      </c>
      <c r="D414" s="10">
        <v>185.27</v>
      </c>
      <c r="E414" s="10">
        <v>0</v>
      </c>
      <c r="F414" t="s">
        <v>75</v>
      </c>
    </row>
    <row r="415" spans="1:6" x14ac:dyDescent="0.3">
      <c r="A415" s="2">
        <v>45536</v>
      </c>
      <c r="B415" t="s">
        <v>39</v>
      </c>
      <c r="C415">
        <v>0</v>
      </c>
      <c r="D415" s="10">
        <v>185.27</v>
      </c>
      <c r="E415" s="10">
        <v>0</v>
      </c>
      <c r="F415" t="s">
        <v>75</v>
      </c>
    </row>
    <row r="416" spans="1:6" x14ac:dyDescent="0.3">
      <c r="A416" s="2">
        <v>45566</v>
      </c>
      <c r="B416" t="s">
        <v>39</v>
      </c>
      <c r="C416">
        <v>0</v>
      </c>
      <c r="D416" s="10">
        <v>185.27</v>
      </c>
      <c r="E416" s="10">
        <v>0</v>
      </c>
      <c r="F416" t="s">
        <v>75</v>
      </c>
    </row>
    <row r="417" spans="1:6" x14ac:dyDescent="0.3">
      <c r="A417" s="2">
        <v>45597</v>
      </c>
      <c r="B417" t="s">
        <v>39</v>
      </c>
      <c r="C417">
        <v>0</v>
      </c>
      <c r="D417" s="10">
        <v>185.27</v>
      </c>
      <c r="E417" s="10">
        <v>0</v>
      </c>
      <c r="F417" t="s">
        <v>75</v>
      </c>
    </row>
    <row r="418" spans="1:6" x14ac:dyDescent="0.3">
      <c r="A418" s="2">
        <v>45627</v>
      </c>
      <c r="B418" t="s">
        <v>39</v>
      </c>
      <c r="C418">
        <v>260</v>
      </c>
      <c r="D418" s="10">
        <v>191</v>
      </c>
      <c r="E418" s="10">
        <v>49660</v>
      </c>
      <c r="F418" t="s">
        <v>75</v>
      </c>
    </row>
    <row r="419" spans="1:6" x14ac:dyDescent="0.3">
      <c r="A419" s="2">
        <v>45658</v>
      </c>
      <c r="B419" t="s">
        <v>39</v>
      </c>
      <c r="C419">
        <v>40</v>
      </c>
      <c r="D419" s="10">
        <v>191</v>
      </c>
      <c r="E419" s="10">
        <v>7640</v>
      </c>
      <c r="F419" t="s">
        <v>75</v>
      </c>
    </row>
    <row r="420" spans="1:6" x14ac:dyDescent="0.3">
      <c r="A420" s="2">
        <v>45689</v>
      </c>
      <c r="B420" t="s">
        <v>39</v>
      </c>
      <c r="C420">
        <v>100</v>
      </c>
      <c r="D420" s="10">
        <v>191</v>
      </c>
      <c r="E420" s="10">
        <v>19100</v>
      </c>
      <c r="F420" t="s">
        <v>75</v>
      </c>
    </row>
    <row r="421" spans="1:6" x14ac:dyDescent="0.3">
      <c r="A421" s="2">
        <v>45717</v>
      </c>
      <c r="B421" t="s">
        <v>39</v>
      </c>
      <c r="C421">
        <v>0</v>
      </c>
      <c r="D421" s="10">
        <v>191</v>
      </c>
      <c r="E421" s="10">
        <v>0</v>
      </c>
      <c r="F421" t="s">
        <v>75</v>
      </c>
    </row>
    <row r="422" spans="1:6" x14ac:dyDescent="0.3">
      <c r="A422" s="2">
        <v>45383</v>
      </c>
      <c r="B422" t="s">
        <v>40</v>
      </c>
      <c r="C422">
        <v>6</v>
      </c>
      <c r="D422" s="10">
        <v>4812.7</v>
      </c>
      <c r="E422" s="10">
        <v>28876.2</v>
      </c>
      <c r="F422" t="s">
        <v>76</v>
      </c>
    </row>
    <row r="423" spans="1:6" x14ac:dyDescent="0.3">
      <c r="A423" s="2">
        <v>45413</v>
      </c>
      <c r="B423" t="s">
        <v>40</v>
      </c>
      <c r="C423">
        <v>0</v>
      </c>
      <c r="D423" s="10">
        <v>4812.7</v>
      </c>
      <c r="E423" s="10">
        <v>0</v>
      </c>
      <c r="F423" t="s">
        <v>76</v>
      </c>
    </row>
    <row r="424" spans="1:6" x14ac:dyDescent="0.3">
      <c r="A424" s="2">
        <v>45444</v>
      </c>
      <c r="B424" t="s">
        <v>40</v>
      </c>
      <c r="C424">
        <v>10</v>
      </c>
      <c r="D424" s="10">
        <v>4812.7</v>
      </c>
      <c r="E424" s="10">
        <v>48127</v>
      </c>
      <c r="F424" t="s">
        <v>76</v>
      </c>
    </row>
    <row r="425" spans="1:6" x14ac:dyDescent="0.3">
      <c r="A425" s="2">
        <v>45474</v>
      </c>
      <c r="B425" t="s">
        <v>40</v>
      </c>
      <c r="C425">
        <v>0</v>
      </c>
      <c r="D425" s="10">
        <v>4812.7</v>
      </c>
      <c r="E425" s="10">
        <v>0</v>
      </c>
      <c r="F425" t="s">
        <v>76</v>
      </c>
    </row>
    <row r="426" spans="1:6" x14ac:dyDescent="0.3">
      <c r="A426" s="2">
        <v>45505</v>
      </c>
      <c r="B426" t="s">
        <v>40</v>
      </c>
      <c r="C426">
        <v>10</v>
      </c>
      <c r="D426" s="10">
        <v>4455</v>
      </c>
      <c r="E426" s="10">
        <v>44550</v>
      </c>
      <c r="F426" t="s">
        <v>76</v>
      </c>
    </row>
    <row r="427" spans="1:6" x14ac:dyDescent="0.3">
      <c r="A427" s="2">
        <v>45536</v>
      </c>
      <c r="B427" t="s">
        <v>40</v>
      </c>
      <c r="C427">
        <v>0</v>
      </c>
      <c r="D427" s="10">
        <v>4455</v>
      </c>
      <c r="E427" s="10">
        <v>0</v>
      </c>
      <c r="F427" t="s">
        <v>76</v>
      </c>
    </row>
    <row r="428" spans="1:6" x14ac:dyDescent="0.3">
      <c r="A428" s="2">
        <v>45566</v>
      </c>
      <c r="B428" t="s">
        <v>40</v>
      </c>
      <c r="C428">
        <v>0</v>
      </c>
      <c r="D428" s="10">
        <v>4455</v>
      </c>
      <c r="E428" s="10">
        <v>0</v>
      </c>
      <c r="F428" t="s">
        <v>76</v>
      </c>
    </row>
    <row r="429" spans="1:6" x14ac:dyDescent="0.3">
      <c r="A429" s="2">
        <v>45597</v>
      </c>
      <c r="B429" t="s">
        <v>40</v>
      </c>
      <c r="C429">
        <v>10</v>
      </c>
      <c r="D429" s="10">
        <v>3700</v>
      </c>
      <c r="E429" s="10">
        <v>37000</v>
      </c>
      <c r="F429" t="s">
        <v>76</v>
      </c>
    </row>
    <row r="430" spans="1:6" x14ac:dyDescent="0.3">
      <c r="A430" s="2">
        <v>45627</v>
      </c>
      <c r="B430" t="s">
        <v>40</v>
      </c>
      <c r="C430">
        <v>0</v>
      </c>
      <c r="D430" s="10">
        <v>3700</v>
      </c>
      <c r="E430" s="10">
        <v>0</v>
      </c>
      <c r="F430" t="s">
        <v>76</v>
      </c>
    </row>
    <row r="431" spans="1:6" x14ac:dyDescent="0.3">
      <c r="A431" s="2">
        <v>45658</v>
      </c>
      <c r="B431" t="s">
        <v>40</v>
      </c>
      <c r="C431">
        <v>10</v>
      </c>
      <c r="D431" s="10">
        <v>3700</v>
      </c>
      <c r="E431" s="10">
        <v>37000</v>
      </c>
      <c r="F431" t="s">
        <v>76</v>
      </c>
    </row>
    <row r="432" spans="1:6" x14ac:dyDescent="0.3">
      <c r="A432" s="2">
        <v>45689</v>
      </c>
      <c r="B432" t="s">
        <v>40</v>
      </c>
      <c r="C432">
        <v>0</v>
      </c>
      <c r="D432" s="10">
        <v>3700</v>
      </c>
      <c r="E432" s="10">
        <v>0</v>
      </c>
      <c r="F432" t="s">
        <v>76</v>
      </c>
    </row>
    <row r="433" spans="1:6" x14ac:dyDescent="0.3">
      <c r="A433" s="2">
        <v>45717</v>
      </c>
      <c r="B433" t="s">
        <v>40</v>
      </c>
      <c r="C433">
        <v>0</v>
      </c>
      <c r="D433" s="10">
        <v>3700</v>
      </c>
      <c r="E433" s="10">
        <v>0</v>
      </c>
      <c r="F433" t="s">
        <v>76</v>
      </c>
    </row>
    <row r="434" spans="1:6" x14ac:dyDescent="0.3">
      <c r="A434" s="2">
        <v>45383</v>
      </c>
      <c r="B434" t="s">
        <v>41</v>
      </c>
      <c r="C434">
        <v>600</v>
      </c>
      <c r="D434" s="10">
        <v>41.630399999999987</v>
      </c>
      <c r="E434" s="10">
        <v>24978.240000000002</v>
      </c>
      <c r="F434" t="s">
        <v>75</v>
      </c>
    </row>
    <row r="435" spans="1:6" x14ac:dyDescent="0.3">
      <c r="A435" s="2">
        <v>45413</v>
      </c>
      <c r="B435" t="s">
        <v>41</v>
      </c>
      <c r="C435">
        <v>360</v>
      </c>
      <c r="D435" s="10">
        <v>41.630388888888888</v>
      </c>
      <c r="E435" s="10">
        <v>14986.94</v>
      </c>
      <c r="F435" t="s">
        <v>75</v>
      </c>
    </row>
    <row r="436" spans="1:6" x14ac:dyDescent="0.3">
      <c r="A436" s="2">
        <v>45444</v>
      </c>
      <c r="B436" t="s">
        <v>41</v>
      </c>
      <c r="C436">
        <v>840</v>
      </c>
      <c r="D436" s="10">
        <v>41.630404761904757</v>
      </c>
      <c r="E436" s="10">
        <v>34969.54</v>
      </c>
      <c r="F436" t="s">
        <v>75</v>
      </c>
    </row>
    <row r="437" spans="1:6" x14ac:dyDescent="0.3">
      <c r="A437" s="2">
        <v>45474</v>
      </c>
      <c r="B437" t="s">
        <v>41</v>
      </c>
      <c r="C437">
        <v>0</v>
      </c>
      <c r="D437" s="10">
        <v>41.630404761904757</v>
      </c>
      <c r="E437" s="10">
        <v>0</v>
      </c>
      <c r="F437" t="s">
        <v>75</v>
      </c>
    </row>
    <row r="438" spans="1:6" x14ac:dyDescent="0.3">
      <c r="A438" s="2">
        <v>45505</v>
      </c>
      <c r="B438" t="s">
        <v>41</v>
      </c>
      <c r="C438">
        <v>360</v>
      </c>
      <c r="D438" s="10">
        <v>41.630388888888888</v>
      </c>
      <c r="E438" s="10">
        <v>14986.94</v>
      </c>
      <c r="F438" t="s">
        <v>75</v>
      </c>
    </row>
    <row r="439" spans="1:6" x14ac:dyDescent="0.3">
      <c r="A439" s="2">
        <v>45536</v>
      </c>
      <c r="B439" t="s">
        <v>41</v>
      </c>
      <c r="C439">
        <v>480</v>
      </c>
      <c r="D439" s="10">
        <v>41.630416666666662</v>
      </c>
      <c r="E439" s="10">
        <v>19982.599999999999</v>
      </c>
      <c r="F439" t="s">
        <v>75</v>
      </c>
    </row>
    <row r="440" spans="1:6" x14ac:dyDescent="0.3">
      <c r="A440" s="2">
        <v>45566</v>
      </c>
      <c r="B440" t="s">
        <v>41</v>
      </c>
      <c r="C440">
        <v>0</v>
      </c>
      <c r="D440" s="10">
        <v>41.630416666666662</v>
      </c>
      <c r="E440" s="10">
        <v>0</v>
      </c>
      <c r="F440" t="s">
        <v>75</v>
      </c>
    </row>
    <row r="441" spans="1:6" x14ac:dyDescent="0.3">
      <c r="A441" s="2">
        <v>45597</v>
      </c>
      <c r="B441" t="s">
        <v>41</v>
      </c>
      <c r="C441">
        <v>600</v>
      </c>
      <c r="D441" s="10">
        <v>41.630400000000002</v>
      </c>
      <c r="E441" s="10">
        <v>24978.240000000002</v>
      </c>
      <c r="F441" t="s">
        <v>75</v>
      </c>
    </row>
    <row r="442" spans="1:6" x14ac:dyDescent="0.3">
      <c r="A442" s="2">
        <v>45627</v>
      </c>
      <c r="B442" t="s">
        <v>41</v>
      </c>
      <c r="C442">
        <v>360</v>
      </c>
      <c r="D442" s="10">
        <v>41.630388888888888</v>
      </c>
      <c r="E442" s="10">
        <v>14986.94</v>
      </c>
      <c r="F442" t="s">
        <v>75</v>
      </c>
    </row>
    <row r="443" spans="1:6" x14ac:dyDescent="0.3">
      <c r="A443" s="2">
        <v>45658</v>
      </c>
      <c r="B443" t="s">
        <v>41</v>
      </c>
      <c r="C443">
        <v>360</v>
      </c>
      <c r="D443" s="10">
        <v>41.630388888888888</v>
      </c>
      <c r="E443" s="10">
        <v>14986.94</v>
      </c>
      <c r="F443" t="s">
        <v>75</v>
      </c>
    </row>
    <row r="444" spans="1:6" x14ac:dyDescent="0.3">
      <c r="A444" s="2">
        <v>45689</v>
      </c>
      <c r="B444" t="s">
        <v>41</v>
      </c>
      <c r="C444">
        <v>360</v>
      </c>
      <c r="D444" s="10">
        <v>41.630388888888888</v>
      </c>
      <c r="E444" s="10">
        <v>14986.94</v>
      </c>
      <c r="F444" t="s">
        <v>75</v>
      </c>
    </row>
    <row r="445" spans="1:6" x14ac:dyDescent="0.3">
      <c r="A445" s="2">
        <v>45717</v>
      </c>
      <c r="B445" t="s">
        <v>41</v>
      </c>
      <c r="C445">
        <v>0</v>
      </c>
      <c r="D445" s="10">
        <v>41.630388888888888</v>
      </c>
      <c r="E445" s="10">
        <v>0</v>
      </c>
      <c r="F445" t="s">
        <v>75</v>
      </c>
    </row>
    <row r="446" spans="1:6" x14ac:dyDescent="0.3">
      <c r="A446" s="2">
        <v>45383</v>
      </c>
      <c r="B446" t="s">
        <v>42</v>
      </c>
      <c r="C446">
        <v>0</v>
      </c>
      <c r="D446" s="10">
        <v>611.32561983471066</v>
      </c>
      <c r="E446" s="10">
        <v>0</v>
      </c>
      <c r="F446" t="s">
        <v>76</v>
      </c>
    </row>
    <row r="447" spans="1:6" x14ac:dyDescent="0.3">
      <c r="A447" s="2">
        <v>45413</v>
      </c>
      <c r="B447" t="s">
        <v>42</v>
      </c>
      <c r="C447">
        <v>0</v>
      </c>
      <c r="D447" s="10">
        <v>611.32561983471066</v>
      </c>
      <c r="E447" s="10">
        <v>0</v>
      </c>
      <c r="F447" t="s">
        <v>76</v>
      </c>
    </row>
    <row r="448" spans="1:6" x14ac:dyDescent="0.3">
      <c r="A448" s="2">
        <v>45444</v>
      </c>
      <c r="B448" t="s">
        <v>42</v>
      </c>
      <c r="C448">
        <v>222</v>
      </c>
      <c r="D448" s="10">
        <v>683.96054054054048</v>
      </c>
      <c r="E448" s="10">
        <v>151839.24</v>
      </c>
      <c r="F448" t="s">
        <v>76</v>
      </c>
    </row>
    <row r="449" spans="1:6" x14ac:dyDescent="0.3">
      <c r="A449" s="2">
        <v>45474</v>
      </c>
      <c r="B449" t="s">
        <v>42</v>
      </c>
      <c r="C449">
        <v>0</v>
      </c>
      <c r="D449" s="10">
        <v>683.96054054054048</v>
      </c>
      <c r="E449" s="10">
        <v>0</v>
      </c>
      <c r="F449" t="s">
        <v>76</v>
      </c>
    </row>
    <row r="450" spans="1:6" x14ac:dyDescent="0.3">
      <c r="A450" s="2">
        <v>45505</v>
      </c>
      <c r="B450" t="s">
        <v>42</v>
      </c>
      <c r="C450">
        <v>0</v>
      </c>
      <c r="D450" s="10">
        <v>683.96054054054048</v>
      </c>
      <c r="E450" s="10">
        <v>0</v>
      </c>
      <c r="F450" t="s">
        <v>76</v>
      </c>
    </row>
    <row r="451" spans="1:6" x14ac:dyDescent="0.3">
      <c r="A451" s="2">
        <v>45536</v>
      </c>
      <c r="B451" t="s">
        <v>42</v>
      </c>
      <c r="C451">
        <v>0</v>
      </c>
      <c r="D451" s="10">
        <v>683.96054054054048</v>
      </c>
      <c r="E451" s="10">
        <v>0</v>
      </c>
      <c r="F451" t="s">
        <v>76</v>
      </c>
    </row>
    <row r="452" spans="1:6" x14ac:dyDescent="0.3">
      <c r="A452" s="2">
        <v>45566</v>
      </c>
      <c r="B452" t="s">
        <v>42</v>
      </c>
      <c r="C452">
        <v>0</v>
      </c>
      <c r="D452" s="10">
        <v>683.96054054054048</v>
      </c>
      <c r="E452" s="10">
        <v>0</v>
      </c>
      <c r="F452" t="s">
        <v>76</v>
      </c>
    </row>
    <row r="453" spans="1:6" x14ac:dyDescent="0.3">
      <c r="A453" s="2">
        <v>45597</v>
      </c>
      <c r="B453" t="s">
        <v>42</v>
      </c>
      <c r="C453">
        <v>0</v>
      </c>
      <c r="D453" s="10">
        <v>683.96054054054048</v>
      </c>
      <c r="E453" s="10">
        <v>0</v>
      </c>
      <c r="F453" t="s">
        <v>76</v>
      </c>
    </row>
    <row r="454" spans="1:6" x14ac:dyDescent="0.3">
      <c r="A454" s="2">
        <v>45627</v>
      </c>
      <c r="B454" t="s">
        <v>42</v>
      </c>
      <c r="C454">
        <v>0</v>
      </c>
      <c r="D454" s="10">
        <v>683.96054054054048</v>
      </c>
      <c r="E454" s="10">
        <v>0</v>
      </c>
      <c r="F454" t="s">
        <v>76</v>
      </c>
    </row>
    <row r="455" spans="1:6" x14ac:dyDescent="0.3">
      <c r="A455" s="2">
        <v>45658</v>
      </c>
      <c r="B455" t="s">
        <v>42</v>
      </c>
      <c r="C455">
        <v>0</v>
      </c>
      <c r="D455" s="10">
        <v>683.96054054054048</v>
      </c>
      <c r="E455" s="10">
        <v>0</v>
      </c>
      <c r="F455" t="s">
        <v>76</v>
      </c>
    </row>
    <row r="456" spans="1:6" x14ac:dyDescent="0.3">
      <c r="A456" s="2">
        <v>45689</v>
      </c>
      <c r="B456" t="s">
        <v>42</v>
      </c>
      <c r="C456">
        <v>36</v>
      </c>
      <c r="D456" s="10">
        <v>759.43</v>
      </c>
      <c r="E456" s="10">
        <v>27339.48</v>
      </c>
      <c r="F456" t="s">
        <v>76</v>
      </c>
    </row>
    <row r="457" spans="1:6" x14ac:dyDescent="0.3">
      <c r="A457" s="2">
        <v>45717</v>
      </c>
      <c r="B457" t="s">
        <v>42</v>
      </c>
      <c r="C457">
        <v>0</v>
      </c>
      <c r="D457" s="10">
        <v>759.43</v>
      </c>
      <c r="E457" s="10">
        <v>0</v>
      </c>
      <c r="F457" t="s">
        <v>76</v>
      </c>
    </row>
    <row r="458" spans="1:6" x14ac:dyDescent="0.3">
      <c r="A458" s="2">
        <v>45383</v>
      </c>
      <c r="B458" t="s">
        <v>43</v>
      </c>
      <c r="C458">
        <v>5000</v>
      </c>
      <c r="D458" s="10">
        <v>6.75</v>
      </c>
      <c r="E458" s="10">
        <v>33750</v>
      </c>
      <c r="F458" t="s">
        <v>76</v>
      </c>
    </row>
    <row r="459" spans="1:6" x14ac:dyDescent="0.3">
      <c r="A459" s="2">
        <v>45413</v>
      </c>
      <c r="B459" t="s">
        <v>43</v>
      </c>
      <c r="C459">
        <v>0</v>
      </c>
      <c r="D459" s="10">
        <v>6.75</v>
      </c>
      <c r="E459" s="10">
        <v>0</v>
      </c>
      <c r="F459" t="s">
        <v>76</v>
      </c>
    </row>
    <row r="460" spans="1:6" x14ac:dyDescent="0.3">
      <c r="A460" s="2">
        <v>45444</v>
      </c>
      <c r="B460" t="s">
        <v>43</v>
      </c>
      <c r="C460">
        <v>7500</v>
      </c>
      <c r="D460" s="10">
        <v>6.75</v>
      </c>
      <c r="E460" s="10">
        <v>50625</v>
      </c>
      <c r="F460" t="s">
        <v>76</v>
      </c>
    </row>
    <row r="461" spans="1:6" x14ac:dyDescent="0.3">
      <c r="A461" s="2">
        <v>45474</v>
      </c>
      <c r="B461" t="s">
        <v>43</v>
      </c>
      <c r="C461">
        <v>7500</v>
      </c>
      <c r="D461" s="10">
        <v>6.9</v>
      </c>
      <c r="E461" s="10">
        <v>51750</v>
      </c>
      <c r="F461" t="s">
        <v>76</v>
      </c>
    </row>
    <row r="462" spans="1:6" x14ac:dyDescent="0.3">
      <c r="A462" s="2">
        <v>45505</v>
      </c>
      <c r="B462" t="s">
        <v>43</v>
      </c>
      <c r="C462">
        <v>0</v>
      </c>
      <c r="D462" s="10">
        <v>6.9</v>
      </c>
      <c r="E462" s="10">
        <v>0</v>
      </c>
      <c r="F462" t="s">
        <v>76</v>
      </c>
    </row>
    <row r="463" spans="1:6" x14ac:dyDescent="0.3">
      <c r="A463" s="2">
        <v>45536</v>
      </c>
      <c r="B463" t="s">
        <v>43</v>
      </c>
      <c r="C463">
        <v>0</v>
      </c>
      <c r="D463" s="10">
        <v>6.9</v>
      </c>
      <c r="E463" s="10">
        <v>0</v>
      </c>
      <c r="F463" t="s">
        <v>76</v>
      </c>
    </row>
    <row r="464" spans="1:6" x14ac:dyDescent="0.3">
      <c r="A464" s="2">
        <v>45566</v>
      </c>
      <c r="B464" t="s">
        <v>43</v>
      </c>
      <c r="C464">
        <v>0</v>
      </c>
      <c r="D464" s="10">
        <v>6.9</v>
      </c>
      <c r="E464" s="10">
        <v>0</v>
      </c>
      <c r="F464" t="s">
        <v>76</v>
      </c>
    </row>
    <row r="465" spans="1:6" x14ac:dyDescent="0.3">
      <c r="A465" s="2">
        <v>45597</v>
      </c>
      <c r="B465" t="s">
        <v>43</v>
      </c>
      <c r="C465">
        <v>0</v>
      </c>
      <c r="D465" s="10">
        <v>6.9</v>
      </c>
      <c r="E465" s="10">
        <v>0</v>
      </c>
      <c r="F465" t="s">
        <v>76</v>
      </c>
    </row>
    <row r="466" spans="1:6" x14ac:dyDescent="0.3">
      <c r="A466" s="2">
        <v>45627</v>
      </c>
      <c r="B466" t="s">
        <v>43</v>
      </c>
      <c r="C466">
        <v>0</v>
      </c>
      <c r="D466" s="10">
        <v>6.9</v>
      </c>
      <c r="E466" s="10">
        <v>0</v>
      </c>
      <c r="F466" t="s">
        <v>76</v>
      </c>
    </row>
    <row r="467" spans="1:6" x14ac:dyDescent="0.3">
      <c r="A467" s="2">
        <v>45658</v>
      </c>
      <c r="B467" t="s">
        <v>43</v>
      </c>
      <c r="C467">
        <v>0</v>
      </c>
      <c r="D467" s="10">
        <v>6.9</v>
      </c>
      <c r="E467" s="10">
        <v>0</v>
      </c>
      <c r="F467" t="s">
        <v>76</v>
      </c>
    </row>
    <row r="468" spans="1:6" x14ac:dyDescent="0.3">
      <c r="A468" s="2">
        <v>45689</v>
      </c>
      <c r="B468" t="s">
        <v>43</v>
      </c>
      <c r="C468">
        <v>4500</v>
      </c>
      <c r="D468" s="10">
        <v>7.5896488888888882</v>
      </c>
      <c r="E468" s="10">
        <v>34153.42</v>
      </c>
      <c r="F468" t="s">
        <v>76</v>
      </c>
    </row>
    <row r="469" spans="1:6" x14ac:dyDescent="0.3">
      <c r="A469" s="2">
        <v>45717</v>
      </c>
      <c r="B469" t="s">
        <v>43</v>
      </c>
      <c r="C469">
        <v>0</v>
      </c>
      <c r="D469" s="10">
        <v>7.5896488888888882</v>
      </c>
      <c r="E469" s="10">
        <v>0</v>
      </c>
      <c r="F469" t="s">
        <v>76</v>
      </c>
    </row>
    <row r="470" spans="1:6" x14ac:dyDescent="0.3">
      <c r="A470" s="2">
        <v>45383</v>
      </c>
      <c r="B470" t="s">
        <v>44</v>
      </c>
      <c r="C470">
        <v>0</v>
      </c>
      <c r="D470" s="10">
        <v>4</v>
      </c>
      <c r="E470" s="10">
        <v>0</v>
      </c>
      <c r="F470" t="s">
        <v>76</v>
      </c>
    </row>
    <row r="471" spans="1:6" x14ac:dyDescent="0.3">
      <c r="A471" s="2">
        <v>45413</v>
      </c>
      <c r="B471" t="s">
        <v>44</v>
      </c>
      <c r="C471">
        <v>25000</v>
      </c>
      <c r="D471" s="10">
        <v>4</v>
      </c>
      <c r="E471" s="10">
        <v>100000</v>
      </c>
      <c r="F471" t="s">
        <v>76</v>
      </c>
    </row>
    <row r="472" spans="1:6" x14ac:dyDescent="0.3">
      <c r="A472" s="2">
        <v>45444</v>
      </c>
      <c r="B472" t="s">
        <v>44</v>
      </c>
      <c r="C472">
        <v>0</v>
      </c>
      <c r="D472" s="10">
        <v>4</v>
      </c>
      <c r="E472" s="10">
        <v>0</v>
      </c>
      <c r="F472" t="s">
        <v>76</v>
      </c>
    </row>
    <row r="473" spans="1:6" x14ac:dyDescent="0.3">
      <c r="A473" s="2">
        <v>45474</v>
      </c>
      <c r="B473" t="s">
        <v>44</v>
      </c>
      <c r="C473">
        <v>10000</v>
      </c>
      <c r="D473" s="10">
        <v>4</v>
      </c>
      <c r="E473" s="10">
        <v>40000</v>
      </c>
      <c r="F473" t="s">
        <v>76</v>
      </c>
    </row>
    <row r="474" spans="1:6" x14ac:dyDescent="0.3">
      <c r="A474" s="2">
        <v>45505</v>
      </c>
      <c r="B474" t="s">
        <v>44</v>
      </c>
      <c r="C474">
        <v>0</v>
      </c>
      <c r="D474" s="10">
        <v>4</v>
      </c>
      <c r="E474" s="10">
        <v>0</v>
      </c>
      <c r="F474" t="s">
        <v>76</v>
      </c>
    </row>
    <row r="475" spans="1:6" x14ac:dyDescent="0.3">
      <c r="A475" s="2">
        <v>45536</v>
      </c>
      <c r="B475" t="s">
        <v>44</v>
      </c>
      <c r="C475">
        <v>0</v>
      </c>
      <c r="D475" s="10">
        <v>4</v>
      </c>
      <c r="E475" s="10">
        <v>0</v>
      </c>
      <c r="F475" t="s">
        <v>76</v>
      </c>
    </row>
    <row r="476" spans="1:6" x14ac:dyDescent="0.3">
      <c r="A476" s="2">
        <v>45566</v>
      </c>
      <c r="B476" t="s">
        <v>44</v>
      </c>
      <c r="C476">
        <v>0</v>
      </c>
      <c r="D476" s="10">
        <v>4</v>
      </c>
      <c r="E476" s="10">
        <v>0</v>
      </c>
      <c r="F476" t="s">
        <v>76</v>
      </c>
    </row>
    <row r="477" spans="1:6" x14ac:dyDescent="0.3">
      <c r="A477" s="2">
        <v>45597</v>
      </c>
      <c r="B477" t="s">
        <v>44</v>
      </c>
      <c r="C477">
        <v>0</v>
      </c>
      <c r="D477" s="10">
        <v>4</v>
      </c>
      <c r="E477" s="10">
        <v>0</v>
      </c>
      <c r="F477" t="s">
        <v>76</v>
      </c>
    </row>
    <row r="478" spans="1:6" x14ac:dyDescent="0.3">
      <c r="A478" s="2">
        <v>45627</v>
      </c>
      <c r="B478" t="s">
        <v>44</v>
      </c>
      <c r="C478">
        <v>0</v>
      </c>
      <c r="D478" s="10">
        <v>4</v>
      </c>
      <c r="E478" s="10">
        <v>0</v>
      </c>
      <c r="F478" t="s">
        <v>76</v>
      </c>
    </row>
    <row r="479" spans="1:6" x14ac:dyDescent="0.3">
      <c r="A479" s="2">
        <v>45658</v>
      </c>
      <c r="B479" t="s">
        <v>44</v>
      </c>
      <c r="C479">
        <v>0</v>
      </c>
      <c r="D479" s="10">
        <v>4</v>
      </c>
      <c r="E479" s="10">
        <v>0</v>
      </c>
      <c r="F479" t="s">
        <v>76</v>
      </c>
    </row>
    <row r="480" spans="1:6" x14ac:dyDescent="0.3">
      <c r="A480" s="2">
        <v>45689</v>
      </c>
      <c r="B480" t="s">
        <v>44</v>
      </c>
      <c r="C480">
        <v>5000</v>
      </c>
      <c r="D480" s="10">
        <v>4.93</v>
      </c>
      <c r="E480" s="10">
        <v>24650</v>
      </c>
      <c r="F480" t="s">
        <v>76</v>
      </c>
    </row>
    <row r="481" spans="1:6" x14ac:dyDescent="0.3">
      <c r="A481" s="2">
        <v>45717</v>
      </c>
      <c r="B481" t="s">
        <v>44</v>
      </c>
      <c r="C481">
        <v>0</v>
      </c>
      <c r="D481" s="10">
        <v>4.93</v>
      </c>
      <c r="E481" s="10">
        <v>0</v>
      </c>
      <c r="F481" t="s">
        <v>76</v>
      </c>
    </row>
    <row r="482" spans="1:6" x14ac:dyDescent="0.3">
      <c r="A482" s="2">
        <v>45383</v>
      </c>
      <c r="B482" t="s">
        <v>45</v>
      </c>
      <c r="C482">
        <v>0</v>
      </c>
      <c r="D482" s="10">
        <v>4950</v>
      </c>
      <c r="E482" s="10">
        <v>0</v>
      </c>
      <c r="F482" t="s">
        <v>76</v>
      </c>
    </row>
    <row r="483" spans="1:6" x14ac:dyDescent="0.3">
      <c r="A483" s="2">
        <v>45413</v>
      </c>
      <c r="B483" t="s">
        <v>45</v>
      </c>
      <c r="C483">
        <v>3</v>
      </c>
      <c r="D483" s="10">
        <v>4500</v>
      </c>
      <c r="E483" s="10">
        <v>13500</v>
      </c>
      <c r="F483" t="s">
        <v>76</v>
      </c>
    </row>
    <row r="484" spans="1:6" x14ac:dyDescent="0.3">
      <c r="A484" s="2">
        <v>45444</v>
      </c>
      <c r="B484" t="s">
        <v>45</v>
      </c>
      <c r="C484">
        <v>5</v>
      </c>
      <c r="D484" s="10">
        <v>4850</v>
      </c>
      <c r="E484" s="10">
        <v>24250</v>
      </c>
      <c r="F484" t="s">
        <v>76</v>
      </c>
    </row>
    <row r="485" spans="1:6" x14ac:dyDescent="0.3">
      <c r="A485" s="2">
        <v>45474</v>
      </c>
      <c r="B485" t="s">
        <v>45</v>
      </c>
      <c r="C485">
        <v>0</v>
      </c>
      <c r="D485" s="10">
        <v>4850</v>
      </c>
      <c r="E485" s="10">
        <v>0</v>
      </c>
      <c r="F485" t="s">
        <v>76</v>
      </c>
    </row>
    <row r="486" spans="1:6" x14ac:dyDescent="0.3">
      <c r="A486" s="2">
        <v>45505</v>
      </c>
      <c r="B486" t="s">
        <v>45</v>
      </c>
      <c r="C486">
        <v>0</v>
      </c>
      <c r="D486" s="10">
        <v>4850</v>
      </c>
      <c r="E486" s="10">
        <v>0</v>
      </c>
      <c r="F486" t="s">
        <v>76</v>
      </c>
    </row>
    <row r="487" spans="1:6" x14ac:dyDescent="0.3">
      <c r="A487" s="2">
        <v>45536</v>
      </c>
      <c r="B487" t="s">
        <v>45</v>
      </c>
      <c r="C487">
        <v>5</v>
      </c>
      <c r="D487" s="10">
        <v>5600</v>
      </c>
      <c r="E487" s="10">
        <v>28000</v>
      </c>
      <c r="F487" t="s">
        <v>76</v>
      </c>
    </row>
    <row r="488" spans="1:6" x14ac:dyDescent="0.3">
      <c r="A488" s="2">
        <v>45566</v>
      </c>
      <c r="B488" t="s">
        <v>45</v>
      </c>
      <c r="C488">
        <v>0</v>
      </c>
      <c r="D488" s="10">
        <v>5600</v>
      </c>
      <c r="E488" s="10">
        <v>0</v>
      </c>
      <c r="F488" t="s">
        <v>76</v>
      </c>
    </row>
    <row r="489" spans="1:6" x14ac:dyDescent="0.3">
      <c r="A489" s="2">
        <v>45597</v>
      </c>
      <c r="B489" t="s">
        <v>45</v>
      </c>
      <c r="C489">
        <v>8</v>
      </c>
      <c r="D489" s="10">
        <v>4099</v>
      </c>
      <c r="E489" s="10">
        <v>32792</v>
      </c>
      <c r="F489" t="s">
        <v>76</v>
      </c>
    </row>
    <row r="490" spans="1:6" x14ac:dyDescent="0.3">
      <c r="A490" s="2">
        <v>45627</v>
      </c>
      <c r="B490" t="s">
        <v>45</v>
      </c>
      <c r="C490">
        <v>0</v>
      </c>
      <c r="D490" s="10">
        <v>4099</v>
      </c>
      <c r="E490" s="10">
        <v>0</v>
      </c>
      <c r="F490" t="s">
        <v>76</v>
      </c>
    </row>
    <row r="491" spans="1:6" x14ac:dyDescent="0.3">
      <c r="A491" s="2">
        <v>45658</v>
      </c>
      <c r="B491" t="s">
        <v>45</v>
      </c>
      <c r="C491">
        <v>8</v>
      </c>
      <c r="D491" s="10">
        <v>4099</v>
      </c>
      <c r="E491" s="10">
        <v>32792</v>
      </c>
      <c r="F491" t="s">
        <v>76</v>
      </c>
    </row>
    <row r="492" spans="1:6" x14ac:dyDescent="0.3">
      <c r="A492" s="2">
        <v>45689</v>
      </c>
      <c r="B492" t="s">
        <v>45</v>
      </c>
      <c r="C492">
        <v>6</v>
      </c>
      <c r="D492" s="10">
        <v>4523.8100000000004</v>
      </c>
      <c r="E492" s="10">
        <v>27142.86</v>
      </c>
      <c r="F492" t="s">
        <v>76</v>
      </c>
    </row>
    <row r="493" spans="1:6" x14ac:dyDescent="0.3">
      <c r="A493" s="2">
        <v>45717</v>
      </c>
      <c r="B493" t="s">
        <v>45</v>
      </c>
      <c r="C493">
        <v>0</v>
      </c>
      <c r="D493" s="10">
        <v>4523.8100000000004</v>
      </c>
      <c r="E493" s="10">
        <v>0</v>
      </c>
      <c r="F493" t="s">
        <v>76</v>
      </c>
    </row>
    <row r="494" spans="1:6" x14ac:dyDescent="0.3">
      <c r="A494" s="2">
        <v>45383</v>
      </c>
      <c r="B494" t="s">
        <v>46</v>
      </c>
      <c r="C494">
        <v>120</v>
      </c>
      <c r="D494" s="10">
        <v>159.48500000000001</v>
      </c>
      <c r="E494" s="10">
        <v>19138.2</v>
      </c>
      <c r="F494" t="s">
        <v>76</v>
      </c>
    </row>
    <row r="495" spans="1:6" x14ac:dyDescent="0.3">
      <c r="A495" s="2">
        <v>45413</v>
      </c>
      <c r="B495" t="s">
        <v>46</v>
      </c>
      <c r="C495">
        <v>0</v>
      </c>
      <c r="D495" s="10">
        <v>159.48500000000001</v>
      </c>
      <c r="E495" s="10">
        <v>0</v>
      </c>
      <c r="F495" t="s">
        <v>76</v>
      </c>
    </row>
    <row r="496" spans="1:6" x14ac:dyDescent="0.3">
      <c r="A496" s="2">
        <v>45444</v>
      </c>
      <c r="B496" t="s">
        <v>46</v>
      </c>
      <c r="C496">
        <v>0</v>
      </c>
      <c r="D496" s="10">
        <v>159.48500000000001</v>
      </c>
      <c r="E496" s="10">
        <v>0</v>
      </c>
      <c r="F496" t="s">
        <v>76</v>
      </c>
    </row>
    <row r="497" spans="1:6" x14ac:dyDescent="0.3">
      <c r="A497" s="2">
        <v>45474</v>
      </c>
      <c r="B497" t="s">
        <v>46</v>
      </c>
      <c r="C497">
        <v>0</v>
      </c>
      <c r="D497" s="10">
        <v>159.48500000000001</v>
      </c>
      <c r="E497" s="10">
        <v>0</v>
      </c>
      <c r="F497" t="s">
        <v>76</v>
      </c>
    </row>
    <row r="498" spans="1:6" x14ac:dyDescent="0.3">
      <c r="A498" s="2">
        <v>45505</v>
      </c>
      <c r="B498" t="s">
        <v>46</v>
      </c>
      <c r="C498">
        <v>120</v>
      </c>
      <c r="D498" s="10">
        <v>179</v>
      </c>
      <c r="E498" s="10">
        <v>21480</v>
      </c>
      <c r="F498" t="s">
        <v>76</v>
      </c>
    </row>
    <row r="499" spans="1:6" x14ac:dyDescent="0.3">
      <c r="A499" s="2">
        <v>45536</v>
      </c>
      <c r="B499" t="s">
        <v>46</v>
      </c>
      <c r="C499">
        <v>0</v>
      </c>
      <c r="D499" s="10">
        <v>179</v>
      </c>
      <c r="E499" s="10">
        <v>0</v>
      </c>
      <c r="F499" t="s">
        <v>76</v>
      </c>
    </row>
    <row r="500" spans="1:6" x14ac:dyDescent="0.3">
      <c r="A500" s="2">
        <v>45566</v>
      </c>
      <c r="B500" t="s">
        <v>46</v>
      </c>
      <c r="C500">
        <v>408</v>
      </c>
      <c r="D500" s="10">
        <v>162.85558823529411</v>
      </c>
      <c r="E500" s="10">
        <v>66445.08</v>
      </c>
      <c r="F500" t="s">
        <v>76</v>
      </c>
    </row>
    <row r="501" spans="1:6" x14ac:dyDescent="0.3">
      <c r="A501" s="2">
        <v>45597</v>
      </c>
      <c r="B501" t="s">
        <v>46</v>
      </c>
      <c r="C501">
        <v>0</v>
      </c>
      <c r="D501" s="10">
        <v>162.85558823529411</v>
      </c>
      <c r="E501" s="10">
        <v>0</v>
      </c>
      <c r="F501" t="s">
        <v>76</v>
      </c>
    </row>
    <row r="502" spans="1:6" x14ac:dyDescent="0.3">
      <c r="A502" s="2">
        <v>45627</v>
      </c>
      <c r="B502" t="s">
        <v>46</v>
      </c>
      <c r="C502">
        <v>0</v>
      </c>
      <c r="D502" s="10">
        <v>162.85558823529411</v>
      </c>
      <c r="E502" s="10">
        <v>0</v>
      </c>
      <c r="F502" t="s">
        <v>76</v>
      </c>
    </row>
    <row r="503" spans="1:6" x14ac:dyDescent="0.3">
      <c r="A503" s="2">
        <v>45658</v>
      </c>
      <c r="B503" t="s">
        <v>46</v>
      </c>
      <c r="C503">
        <v>7800</v>
      </c>
      <c r="D503" s="10">
        <v>13.824784615384621</v>
      </c>
      <c r="E503" s="10">
        <v>107833.32</v>
      </c>
      <c r="F503" t="s">
        <v>76</v>
      </c>
    </row>
    <row r="504" spans="1:6" x14ac:dyDescent="0.3">
      <c r="A504" s="2">
        <v>45689</v>
      </c>
      <c r="B504" t="s">
        <v>46</v>
      </c>
      <c r="C504">
        <v>0</v>
      </c>
      <c r="D504" s="10">
        <v>13.824784615384621</v>
      </c>
      <c r="E504" s="10">
        <v>0</v>
      </c>
      <c r="F504" t="s">
        <v>76</v>
      </c>
    </row>
    <row r="505" spans="1:6" x14ac:dyDescent="0.3">
      <c r="A505" s="2">
        <v>45717</v>
      </c>
      <c r="B505" t="s">
        <v>46</v>
      </c>
      <c r="C505">
        <v>0</v>
      </c>
      <c r="D505" s="10">
        <v>13.824784615384621</v>
      </c>
      <c r="E505" s="10">
        <v>0</v>
      </c>
      <c r="F505" t="s">
        <v>76</v>
      </c>
    </row>
    <row r="506" spans="1:6" x14ac:dyDescent="0.3">
      <c r="A506" s="2">
        <v>45383</v>
      </c>
      <c r="B506" t="s">
        <v>47</v>
      </c>
      <c r="C506">
        <v>0</v>
      </c>
      <c r="D506" s="10">
        <v>4.5</v>
      </c>
      <c r="E506" s="10">
        <v>0</v>
      </c>
      <c r="F506" t="s">
        <v>76</v>
      </c>
    </row>
    <row r="507" spans="1:6" x14ac:dyDescent="0.3">
      <c r="A507" s="2">
        <v>45413</v>
      </c>
      <c r="B507" t="s">
        <v>47</v>
      </c>
      <c r="C507">
        <v>0</v>
      </c>
      <c r="D507" s="10">
        <v>4.5</v>
      </c>
      <c r="E507" s="10">
        <v>0</v>
      </c>
      <c r="F507" t="s">
        <v>76</v>
      </c>
    </row>
    <row r="508" spans="1:6" x14ac:dyDescent="0.3">
      <c r="A508" s="2">
        <v>45444</v>
      </c>
      <c r="B508" t="s">
        <v>47</v>
      </c>
      <c r="C508">
        <v>33000</v>
      </c>
      <c r="D508" s="10">
        <v>4.5</v>
      </c>
      <c r="E508" s="10">
        <v>148500</v>
      </c>
      <c r="F508" t="s">
        <v>76</v>
      </c>
    </row>
    <row r="509" spans="1:6" x14ac:dyDescent="0.3">
      <c r="A509" s="2">
        <v>45474</v>
      </c>
      <c r="B509" t="s">
        <v>47</v>
      </c>
      <c r="C509">
        <v>0</v>
      </c>
      <c r="D509" s="10">
        <v>4.5</v>
      </c>
      <c r="E509" s="10">
        <v>0</v>
      </c>
      <c r="F509" t="s">
        <v>76</v>
      </c>
    </row>
    <row r="510" spans="1:6" x14ac:dyDescent="0.3">
      <c r="A510" s="2">
        <v>45505</v>
      </c>
      <c r="B510" t="s">
        <v>47</v>
      </c>
      <c r="C510">
        <v>0</v>
      </c>
      <c r="D510" s="10">
        <v>4.5</v>
      </c>
      <c r="E510" s="10">
        <v>0</v>
      </c>
      <c r="F510" t="s">
        <v>76</v>
      </c>
    </row>
    <row r="511" spans="1:6" x14ac:dyDescent="0.3">
      <c r="A511" s="2">
        <v>45536</v>
      </c>
      <c r="B511" t="s">
        <v>47</v>
      </c>
      <c r="C511">
        <v>0</v>
      </c>
      <c r="D511" s="10">
        <v>4.5</v>
      </c>
      <c r="E511" s="10">
        <v>0</v>
      </c>
      <c r="F511" t="s">
        <v>76</v>
      </c>
    </row>
    <row r="512" spans="1:6" x14ac:dyDescent="0.3">
      <c r="A512" s="2">
        <v>45566</v>
      </c>
      <c r="B512" t="s">
        <v>47</v>
      </c>
      <c r="C512">
        <v>0</v>
      </c>
      <c r="D512" s="10">
        <v>4.5</v>
      </c>
      <c r="E512" s="10">
        <v>0</v>
      </c>
      <c r="F512" t="s">
        <v>76</v>
      </c>
    </row>
    <row r="513" spans="1:6" x14ac:dyDescent="0.3">
      <c r="A513" s="2">
        <v>45597</v>
      </c>
      <c r="B513" t="s">
        <v>47</v>
      </c>
      <c r="C513">
        <v>0</v>
      </c>
      <c r="D513" s="10">
        <v>4.5</v>
      </c>
      <c r="E513" s="10">
        <v>0</v>
      </c>
      <c r="F513" t="s">
        <v>76</v>
      </c>
    </row>
    <row r="514" spans="1:6" x14ac:dyDescent="0.3">
      <c r="A514" s="2">
        <v>45627</v>
      </c>
      <c r="B514" t="s">
        <v>47</v>
      </c>
      <c r="C514">
        <v>0</v>
      </c>
      <c r="D514" s="10">
        <v>4.5</v>
      </c>
      <c r="E514" s="10">
        <v>0</v>
      </c>
      <c r="F514" t="s">
        <v>76</v>
      </c>
    </row>
    <row r="515" spans="1:6" x14ac:dyDescent="0.3">
      <c r="A515" s="2">
        <v>45658</v>
      </c>
      <c r="B515" t="s">
        <v>47</v>
      </c>
      <c r="C515">
        <v>0</v>
      </c>
      <c r="D515" s="10">
        <v>4.5</v>
      </c>
      <c r="E515" s="10">
        <v>0</v>
      </c>
      <c r="F515" t="s">
        <v>76</v>
      </c>
    </row>
    <row r="516" spans="1:6" x14ac:dyDescent="0.3">
      <c r="A516" s="2">
        <v>45689</v>
      </c>
      <c r="B516" t="s">
        <v>47</v>
      </c>
      <c r="C516">
        <v>0</v>
      </c>
      <c r="D516" s="10">
        <v>4.5</v>
      </c>
      <c r="E516" s="10">
        <v>0</v>
      </c>
      <c r="F516" t="s">
        <v>76</v>
      </c>
    </row>
    <row r="517" spans="1:6" x14ac:dyDescent="0.3">
      <c r="A517" s="2">
        <v>45717</v>
      </c>
      <c r="B517" t="s">
        <v>47</v>
      </c>
      <c r="C517">
        <v>0</v>
      </c>
      <c r="D517" s="10">
        <v>4.5</v>
      </c>
      <c r="E517" s="10">
        <v>0</v>
      </c>
      <c r="F517" t="s">
        <v>76</v>
      </c>
    </row>
    <row r="518" spans="1:6" x14ac:dyDescent="0.3">
      <c r="A518" s="2">
        <v>45383</v>
      </c>
      <c r="B518" t="s">
        <v>48</v>
      </c>
      <c r="C518">
        <v>0</v>
      </c>
      <c r="D518" s="10">
        <v>2.75</v>
      </c>
      <c r="E518" s="10">
        <v>0</v>
      </c>
      <c r="F518" t="s">
        <v>76</v>
      </c>
    </row>
    <row r="519" spans="1:6" x14ac:dyDescent="0.3">
      <c r="A519" s="2">
        <v>45413</v>
      </c>
      <c r="B519" t="s">
        <v>48</v>
      </c>
      <c r="C519">
        <v>50000</v>
      </c>
      <c r="D519" s="10">
        <v>2.75</v>
      </c>
      <c r="E519" s="10">
        <v>137500</v>
      </c>
      <c r="F519" t="s">
        <v>76</v>
      </c>
    </row>
    <row r="520" spans="1:6" x14ac:dyDescent="0.3">
      <c r="A520" s="2">
        <v>45444</v>
      </c>
      <c r="B520" t="s">
        <v>48</v>
      </c>
      <c r="C520">
        <v>0</v>
      </c>
      <c r="D520" s="10">
        <v>2.75</v>
      </c>
      <c r="E520" s="10">
        <v>0</v>
      </c>
      <c r="F520" t="s">
        <v>76</v>
      </c>
    </row>
    <row r="521" spans="1:6" x14ac:dyDescent="0.3">
      <c r="A521" s="2">
        <v>45474</v>
      </c>
      <c r="B521" t="s">
        <v>48</v>
      </c>
      <c r="C521">
        <v>0</v>
      </c>
      <c r="D521" s="10">
        <v>2.75</v>
      </c>
      <c r="E521" s="10">
        <v>0</v>
      </c>
      <c r="F521" t="s">
        <v>76</v>
      </c>
    </row>
    <row r="522" spans="1:6" x14ac:dyDescent="0.3">
      <c r="A522" s="2">
        <v>45505</v>
      </c>
      <c r="B522" t="s">
        <v>48</v>
      </c>
      <c r="C522">
        <v>0</v>
      </c>
      <c r="D522" s="10">
        <v>2.75</v>
      </c>
      <c r="E522" s="10">
        <v>0</v>
      </c>
      <c r="F522" t="s">
        <v>76</v>
      </c>
    </row>
    <row r="523" spans="1:6" x14ac:dyDescent="0.3">
      <c r="A523" s="2">
        <v>45536</v>
      </c>
      <c r="B523" t="s">
        <v>48</v>
      </c>
      <c r="C523">
        <v>0</v>
      </c>
      <c r="D523" s="10">
        <v>2.75</v>
      </c>
      <c r="E523" s="10">
        <v>0</v>
      </c>
      <c r="F523" t="s">
        <v>76</v>
      </c>
    </row>
    <row r="524" spans="1:6" x14ac:dyDescent="0.3">
      <c r="A524" s="2">
        <v>45566</v>
      </c>
      <c r="B524" t="s">
        <v>48</v>
      </c>
      <c r="C524">
        <v>0</v>
      </c>
      <c r="D524" s="10">
        <v>2.75</v>
      </c>
      <c r="E524" s="10">
        <v>0</v>
      </c>
      <c r="F524" t="s">
        <v>76</v>
      </c>
    </row>
    <row r="525" spans="1:6" x14ac:dyDescent="0.3">
      <c r="A525" s="2">
        <v>45597</v>
      </c>
      <c r="B525" t="s">
        <v>48</v>
      </c>
      <c r="C525">
        <v>0</v>
      </c>
      <c r="D525" s="10">
        <v>2.75</v>
      </c>
      <c r="E525" s="10">
        <v>0</v>
      </c>
      <c r="F525" t="s">
        <v>76</v>
      </c>
    </row>
    <row r="526" spans="1:6" x14ac:dyDescent="0.3">
      <c r="A526" s="2">
        <v>45627</v>
      </c>
      <c r="B526" t="s">
        <v>48</v>
      </c>
      <c r="C526">
        <v>0</v>
      </c>
      <c r="D526" s="10">
        <v>2.75</v>
      </c>
      <c r="E526" s="10">
        <v>0</v>
      </c>
      <c r="F526" t="s">
        <v>76</v>
      </c>
    </row>
    <row r="527" spans="1:6" x14ac:dyDescent="0.3">
      <c r="A527" s="2">
        <v>45658</v>
      </c>
      <c r="B527" t="s">
        <v>48</v>
      </c>
      <c r="C527">
        <v>5000</v>
      </c>
      <c r="D527" s="10">
        <v>2.1</v>
      </c>
      <c r="E527" s="10">
        <v>10500</v>
      </c>
      <c r="F527" t="s">
        <v>76</v>
      </c>
    </row>
    <row r="528" spans="1:6" x14ac:dyDescent="0.3">
      <c r="A528" s="2">
        <v>45689</v>
      </c>
      <c r="B528" t="s">
        <v>48</v>
      </c>
      <c r="C528">
        <v>0</v>
      </c>
      <c r="D528" s="10">
        <v>2.1</v>
      </c>
      <c r="E528" s="10">
        <v>0</v>
      </c>
      <c r="F528" t="s">
        <v>76</v>
      </c>
    </row>
    <row r="529" spans="1:6" x14ac:dyDescent="0.3">
      <c r="A529" s="2">
        <v>45717</v>
      </c>
      <c r="B529" t="s">
        <v>48</v>
      </c>
      <c r="C529">
        <v>0</v>
      </c>
      <c r="D529" s="10">
        <v>2.1</v>
      </c>
      <c r="E529" s="10">
        <v>0</v>
      </c>
      <c r="F529" t="s">
        <v>76</v>
      </c>
    </row>
    <row r="530" spans="1:6" x14ac:dyDescent="0.3">
      <c r="A530" s="2">
        <v>45383</v>
      </c>
      <c r="B530" t="s">
        <v>49</v>
      </c>
      <c r="C530">
        <v>0</v>
      </c>
      <c r="D530" s="10">
        <v>11.02732</v>
      </c>
      <c r="E530" s="10">
        <v>0</v>
      </c>
      <c r="F530" t="s">
        <v>76</v>
      </c>
    </row>
    <row r="531" spans="1:6" x14ac:dyDescent="0.3">
      <c r="A531" s="2">
        <v>45413</v>
      </c>
      <c r="B531" t="s">
        <v>49</v>
      </c>
      <c r="C531">
        <v>0</v>
      </c>
      <c r="D531" s="10">
        <v>11.02732</v>
      </c>
      <c r="E531" s="10">
        <v>0</v>
      </c>
      <c r="F531" t="s">
        <v>76</v>
      </c>
    </row>
    <row r="532" spans="1:6" x14ac:dyDescent="0.3">
      <c r="A532" s="2">
        <v>45444</v>
      </c>
      <c r="B532" t="s">
        <v>49</v>
      </c>
      <c r="C532">
        <v>1000</v>
      </c>
      <c r="D532" s="10">
        <v>63.95</v>
      </c>
      <c r="E532" s="10">
        <v>63950</v>
      </c>
      <c r="F532" t="s">
        <v>76</v>
      </c>
    </row>
    <row r="533" spans="1:6" x14ac:dyDescent="0.3">
      <c r="A533" s="2">
        <v>45474</v>
      </c>
      <c r="B533" t="s">
        <v>49</v>
      </c>
      <c r="C533">
        <v>0</v>
      </c>
      <c r="D533" s="10">
        <v>63.95</v>
      </c>
      <c r="E533" s="10">
        <v>0</v>
      </c>
      <c r="F533" t="s">
        <v>76</v>
      </c>
    </row>
    <row r="534" spans="1:6" x14ac:dyDescent="0.3">
      <c r="A534" s="2">
        <v>45505</v>
      </c>
      <c r="B534" t="s">
        <v>49</v>
      </c>
      <c r="C534">
        <v>0</v>
      </c>
      <c r="D534" s="10">
        <v>63.95</v>
      </c>
      <c r="E534" s="10">
        <v>0</v>
      </c>
      <c r="F534" t="s">
        <v>76</v>
      </c>
    </row>
    <row r="535" spans="1:6" x14ac:dyDescent="0.3">
      <c r="A535" s="2">
        <v>45536</v>
      </c>
      <c r="B535" t="s">
        <v>49</v>
      </c>
      <c r="C535">
        <v>0</v>
      </c>
      <c r="D535" s="10">
        <v>63.95</v>
      </c>
      <c r="E535" s="10">
        <v>0</v>
      </c>
      <c r="F535" t="s">
        <v>76</v>
      </c>
    </row>
    <row r="536" spans="1:6" x14ac:dyDescent="0.3">
      <c r="A536" s="2">
        <v>45566</v>
      </c>
      <c r="B536" t="s">
        <v>49</v>
      </c>
      <c r="C536">
        <v>250</v>
      </c>
      <c r="D536" s="10">
        <v>13</v>
      </c>
      <c r="E536" s="10">
        <v>3250</v>
      </c>
      <c r="F536" t="s">
        <v>76</v>
      </c>
    </row>
    <row r="537" spans="1:6" x14ac:dyDescent="0.3">
      <c r="A537" s="2">
        <v>45597</v>
      </c>
      <c r="B537" t="s">
        <v>49</v>
      </c>
      <c r="C537">
        <v>1200</v>
      </c>
      <c r="D537" s="10">
        <v>13</v>
      </c>
      <c r="E537" s="10">
        <v>15600</v>
      </c>
      <c r="F537" t="s">
        <v>76</v>
      </c>
    </row>
    <row r="538" spans="1:6" x14ac:dyDescent="0.3">
      <c r="A538" s="2">
        <v>45627</v>
      </c>
      <c r="B538" t="s">
        <v>49</v>
      </c>
      <c r="C538">
        <v>5000</v>
      </c>
      <c r="D538" s="10">
        <v>12.79</v>
      </c>
      <c r="E538" s="10">
        <v>63949.999999999993</v>
      </c>
      <c r="F538" t="s">
        <v>76</v>
      </c>
    </row>
    <row r="539" spans="1:6" x14ac:dyDescent="0.3">
      <c r="A539" s="2">
        <v>45658</v>
      </c>
      <c r="B539" t="s">
        <v>49</v>
      </c>
      <c r="C539">
        <v>0</v>
      </c>
      <c r="D539" s="10">
        <v>12.79</v>
      </c>
      <c r="E539" s="10">
        <v>0</v>
      </c>
      <c r="F539" t="s">
        <v>76</v>
      </c>
    </row>
    <row r="540" spans="1:6" x14ac:dyDescent="0.3">
      <c r="A540" s="2">
        <v>45689</v>
      </c>
      <c r="B540" t="s">
        <v>49</v>
      </c>
      <c r="C540">
        <v>0</v>
      </c>
      <c r="D540" s="10">
        <v>12.79</v>
      </c>
      <c r="E540" s="10">
        <v>0</v>
      </c>
      <c r="F540" t="s">
        <v>76</v>
      </c>
    </row>
    <row r="541" spans="1:6" x14ac:dyDescent="0.3">
      <c r="A541" s="2">
        <v>45717</v>
      </c>
      <c r="B541" t="s">
        <v>49</v>
      </c>
      <c r="C541">
        <v>0</v>
      </c>
      <c r="D541" s="10">
        <v>12.79</v>
      </c>
      <c r="E541" s="10">
        <v>0</v>
      </c>
      <c r="F541" t="s">
        <v>76</v>
      </c>
    </row>
    <row r="542" spans="1:6" x14ac:dyDescent="0.3">
      <c r="A542" s="2">
        <v>45383</v>
      </c>
      <c r="B542" t="s">
        <v>50</v>
      </c>
      <c r="C542">
        <v>0</v>
      </c>
      <c r="D542" s="10">
        <v>107</v>
      </c>
      <c r="E542" s="10">
        <v>0</v>
      </c>
      <c r="F542" t="s">
        <v>76</v>
      </c>
    </row>
    <row r="543" spans="1:6" x14ac:dyDescent="0.3">
      <c r="A543" s="2">
        <v>45413</v>
      </c>
      <c r="B543" t="s">
        <v>50</v>
      </c>
      <c r="C543">
        <v>700</v>
      </c>
      <c r="D543" s="10">
        <v>107</v>
      </c>
      <c r="E543" s="10">
        <v>74900</v>
      </c>
      <c r="F543" t="s">
        <v>76</v>
      </c>
    </row>
    <row r="544" spans="1:6" x14ac:dyDescent="0.3">
      <c r="A544" s="2">
        <v>45444</v>
      </c>
      <c r="B544" t="s">
        <v>50</v>
      </c>
      <c r="C544">
        <v>0</v>
      </c>
      <c r="D544" s="10">
        <v>107</v>
      </c>
      <c r="E544" s="10">
        <v>0</v>
      </c>
      <c r="F544" t="s">
        <v>76</v>
      </c>
    </row>
    <row r="545" spans="1:6" x14ac:dyDescent="0.3">
      <c r="A545" s="2">
        <v>45474</v>
      </c>
      <c r="B545" t="s">
        <v>50</v>
      </c>
      <c r="C545">
        <v>0</v>
      </c>
      <c r="D545" s="10">
        <v>107</v>
      </c>
      <c r="E545" s="10">
        <v>0</v>
      </c>
      <c r="F545" t="s">
        <v>76</v>
      </c>
    </row>
    <row r="546" spans="1:6" x14ac:dyDescent="0.3">
      <c r="A546" s="2">
        <v>45505</v>
      </c>
      <c r="B546" t="s">
        <v>50</v>
      </c>
      <c r="C546">
        <v>0</v>
      </c>
      <c r="D546" s="10">
        <v>107</v>
      </c>
      <c r="E546" s="10">
        <v>0</v>
      </c>
      <c r="F546" t="s">
        <v>76</v>
      </c>
    </row>
    <row r="547" spans="1:6" x14ac:dyDescent="0.3">
      <c r="A547" s="2">
        <v>45536</v>
      </c>
      <c r="B547" t="s">
        <v>50</v>
      </c>
      <c r="C547">
        <v>0</v>
      </c>
      <c r="D547" s="10">
        <v>107</v>
      </c>
      <c r="E547" s="10">
        <v>0</v>
      </c>
      <c r="F547" t="s">
        <v>76</v>
      </c>
    </row>
    <row r="548" spans="1:6" x14ac:dyDescent="0.3">
      <c r="A548" s="2">
        <v>45566</v>
      </c>
      <c r="B548" t="s">
        <v>50</v>
      </c>
      <c r="C548">
        <v>0</v>
      </c>
      <c r="D548" s="10">
        <v>107</v>
      </c>
      <c r="E548" s="10">
        <v>0</v>
      </c>
      <c r="F548" t="s">
        <v>76</v>
      </c>
    </row>
    <row r="549" spans="1:6" x14ac:dyDescent="0.3">
      <c r="A549" s="2">
        <v>45597</v>
      </c>
      <c r="B549" t="s">
        <v>50</v>
      </c>
      <c r="C549">
        <v>1000</v>
      </c>
      <c r="D549" s="10">
        <v>2.2000000000000002</v>
      </c>
      <c r="E549" s="10">
        <v>2200</v>
      </c>
      <c r="F549" t="s">
        <v>76</v>
      </c>
    </row>
    <row r="550" spans="1:6" x14ac:dyDescent="0.3">
      <c r="A550" s="2">
        <v>45627</v>
      </c>
      <c r="B550" t="s">
        <v>50</v>
      </c>
      <c r="C550">
        <v>0</v>
      </c>
      <c r="D550" s="10">
        <v>2.2000000000000002</v>
      </c>
      <c r="E550" s="10">
        <v>0</v>
      </c>
      <c r="F550" t="s">
        <v>76</v>
      </c>
    </row>
    <row r="551" spans="1:6" x14ac:dyDescent="0.3">
      <c r="A551" s="2">
        <v>45658</v>
      </c>
      <c r="B551" t="s">
        <v>50</v>
      </c>
      <c r="C551">
        <v>0</v>
      </c>
      <c r="D551" s="10">
        <v>2.2000000000000002</v>
      </c>
      <c r="E551" s="10">
        <v>0</v>
      </c>
      <c r="F551" t="s">
        <v>76</v>
      </c>
    </row>
    <row r="552" spans="1:6" x14ac:dyDescent="0.3">
      <c r="A552" s="2">
        <v>45689</v>
      </c>
      <c r="B552" t="s">
        <v>50</v>
      </c>
      <c r="C552">
        <v>600</v>
      </c>
      <c r="D552" s="10">
        <v>107</v>
      </c>
      <c r="E552" s="10">
        <v>64200</v>
      </c>
      <c r="F552" t="s">
        <v>76</v>
      </c>
    </row>
    <row r="553" spans="1:6" x14ac:dyDescent="0.3">
      <c r="A553" s="2">
        <v>45717</v>
      </c>
      <c r="B553" t="s">
        <v>50</v>
      </c>
      <c r="C553">
        <v>0</v>
      </c>
      <c r="D553" s="10">
        <v>107</v>
      </c>
      <c r="E553" s="10">
        <v>0</v>
      </c>
      <c r="F553" t="s">
        <v>76</v>
      </c>
    </row>
    <row r="554" spans="1:6" x14ac:dyDescent="0.3">
      <c r="A554" s="2">
        <v>45383</v>
      </c>
      <c r="B554" t="s">
        <v>51</v>
      </c>
      <c r="C554">
        <v>0</v>
      </c>
      <c r="D554" s="10">
        <v>700</v>
      </c>
      <c r="E554" s="10">
        <v>0</v>
      </c>
      <c r="F554" t="s">
        <v>76</v>
      </c>
    </row>
    <row r="555" spans="1:6" x14ac:dyDescent="0.3">
      <c r="A555" s="2">
        <v>45413</v>
      </c>
      <c r="B555" t="s">
        <v>51</v>
      </c>
      <c r="C555">
        <v>0</v>
      </c>
      <c r="D555" s="10">
        <v>700</v>
      </c>
      <c r="E555" s="10">
        <v>0</v>
      </c>
      <c r="F555" t="s">
        <v>76</v>
      </c>
    </row>
    <row r="556" spans="1:6" x14ac:dyDescent="0.3">
      <c r="A556" s="2">
        <v>45444</v>
      </c>
      <c r="B556" t="s">
        <v>51</v>
      </c>
      <c r="C556">
        <v>0</v>
      </c>
      <c r="D556" s="10">
        <v>700</v>
      </c>
      <c r="E556" s="10">
        <v>0</v>
      </c>
      <c r="F556" t="s">
        <v>76</v>
      </c>
    </row>
    <row r="557" spans="1:6" x14ac:dyDescent="0.3">
      <c r="A557" s="2">
        <v>45474</v>
      </c>
      <c r="B557" t="s">
        <v>51</v>
      </c>
      <c r="C557">
        <v>0</v>
      </c>
      <c r="D557" s="10">
        <v>700</v>
      </c>
      <c r="E557" s="10">
        <v>0</v>
      </c>
      <c r="F557" t="s">
        <v>76</v>
      </c>
    </row>
    <row r="558" spans="1:6" x14ac:dyDescent="0.3">
      <c r="A558" s="2">
        <v>45505</v>
      </c>
      <c r="B558" t="s">
        <v>51</v>
      </c>
      <c r="C558">
        <v>0</v>
      </c>
      <c r="D558" s="10">
        <v>700</v>
      </c>
      <c r="E558" s="10">
        <v>0</v>
      </c>
      <c r="F558" t="s">
        <v>76</v>
      </c>
    </row>
    <row r="559" spans="1:6" x14ac:dyDescent="0.3">
      <c r="A559" s="2">
        <v>45536</v>
      </c>
      <c r="B559" t="s">
        <v>51</v>
      </c>
      <c r="C559">
        <v>60</v>
      </c>
      <c r="D559" s="10">
        <v>725</v>
      </c>
      <c r="E559" s="10">
        <v>43500</v>
      </c>
      <c r="F559" t="s">
        <v>76</v>
      </c>
    </row>
    <row r="560" spans="1:6" x14ac:dyDescent="0.3">
      <c r="A560" s="2">
        <v>45566</v>
      </c>
      <c r="B560" t="s">
        <v>51</v>
      </c>
      <c r="C560">
        <v>120</v>
      </c>
      <c r="D560" s="10">
        <v>714.29000000000008</v>
      </c>
      <c r="E560" s="10">
        <v>85714.8</v>
      </c>
      <c r="F560" t="s">
        <v>76</v>
      </c>
    </row>
    <row r="561" spans="1:6" x14ac:dyDescent="0.3">
      <c r="A561" s="2">
        <v>45597</v>
      </c>
      <c r="B561" t="s">
        <v>51</v>
      </c>
      <c r="C561">
        <v>0</v>
      </c>
      <c r="D561" s="10">
        <v>714.29000000000008</v>
      </c>
      <c r="E561" s="10">
        <v>0</v>
      </c>
      <c r="F561" t="s">
        <v>76</v>
      </c>
    </row>
    <row r="562" spans="1:6" x14ac:dyDescent="0.3">
      <c r="A562" s="2">
        <v>45627</v>
      </c>
      <c r="B562" t="s">
        <v>51</v>
      </c>
      <c r="C562">
        <v>0</v>
      </c>
      <c r="D562" s="10">
        <v>714.29000000000008</v>
      </c>
      <c r="E562" s="10">
        <v>0</v>
      </c>
      <c r="F562" t="s">
        <v>76</v>
      </c>
    </row>
    <row r="563" spans="1:6" x14ac:dyDescent="0.3">
      <c r="A563" s="2">
        <v>45658</v>
      </c>
      <c r="B563" t="s">
        <v>51</v>
      </c>
      <c r="C563">
        <v>0</v>
      </c>
      <c r="D563" s="10">
        <v>714.29000000000008</v>
      </c>
      <c r="E563" s="10">
        <v>0</v>
      </c>
      <c r="F563" t="s">
        <v>76</v>
      </c>
    </row>
    <row r="564" spans="1:6" x14ac:dyDescent="0.3">
      <c r="A564" s="2">
        <v>45689</v>
      </c>
      <c r="B564" t="s">
        <v>51</v>
      </c>
      <c r="C564">
        <v>0</v>
      </c>
      <c r="D564" s="10">
        <v>714.29000000000008</v>
      </c>
      <c r="E564" s="10">
        <v>0</v>
      </c>
      <c r="F564" t="s">
        <v>76</v>
      </c>
    </row>
    <row r="565" spans="1:6" x14ac:dyDescent="0.3">
      <c r="A565" s="2">
        <v>45717</v>
      </c>
      <c r="B565" t="s">
        <v>51</v>
      </c>
      <c r="C565">
        <v>0</v>
      </c>
      <c r="D565" s="10">
        <v>714.29000000000008</v>
      </c>
      <c r="E565" s="10">
        <v>0</v>
      </c>
      <c r="F565" t="s">
        <v>76</v>
      </c>
    </row>
    <row r="566" spans="1:6" x14ac:dyDescent="0.3">
      <c r="A566" s="2">
        <v>45383</v>
      </c>
      <c r="B566" t="s">
        <v>52</v>
      </c>
      <c r="C566">
        <v>600</v>
      </c>
      <c r="D566" s="10">
        <v>52.2</v>
      </c>
      <c r="E566" s="10">
        <v>31320</v>
      </c>
      <c r="F566" t="s">
        <v>75</v>
      </c>
    </row>
    <row r="567" spans="1:6" x14ac:dyDescent="0.3">
      <c r="A567" s="2">
        <v>45413</v>
      </c>
      <c r="B567" t="s">
        <v>52</v>
      </c>
      <c r="C567">
        <v>120</v>
      </c>
      <c r="D567" s="10">
        <v>52.2</v>
      </c>
      <c r="E567" s="10">
        <v>6264</v>
      </c>
      <c r="F567" t="s">
        <v>75</v>
      </c>
    </row>
    <row r="568" spans="1:6" x14ac:dyDescent="0.3">
      <c r="A568" s="2">
        <v>45444</v>
      </c>
      <c r="B568" t="s">
        <v>52</v>
      </c>
      <c r="C568">
        <v>600</v>
      </c>
      <c r="D568" s="10">
        <v>52.2</v>
      </c>
      <c r="E568" s="10">
        <v>31320</v>
      </c>
      <c r="F568" t="s">
        <v>75</v>
      </c>
    </row>
    <row r="569" spans="1:6" x14ac:dyDescent="0.3">
      <c r="A569" s="2">
        <v>45474</v>
      </c>
      <c r="B569" t="s">
        <v>52</v>
      </c>
      <c r="C569">
        <v>200</v>
      </c>
      <c r="D569" s="10">
        <v>52.2</v>
      </c>
      <c r="E569" s="10">
        <v>10440</v>
      </c>
      <c r="F569" t="s">
        <v>75</v>
      </c>
    </row>
    <row r="570" spans="1:6" x14ac:dyDescent="0.3">
      <c r="A570" s="2">
        <v>45505</v>
      </c>
      <c r="B570" t="s">
        <v>52</v>
      </c>
      <c r="C570">
        <v>420</v>
      </c>
      <c r="D570" s="10">
        <v>52.2</v>
      </c>
      <c r="E570" s="10">
        <v>21924</v>
      </c>
      <c r="F570" t="s">
        <v>75</v>
      </c>
    </row>
    <row r="571" spans="1:6" x14ac:dyDescent="0.3">
      <c r="A571" s="2">
        <v>45536</v>
      </c>
      <c r="B571" t="s">
        <v>52</v>
      </c>
      <c r="C571">
        <v>200</v>
      </c>
      <c r="D571" s="10">
        <v>52.2</v>
      </c>
      <c r="E571" s="10">
        <v>10440</v>
      </c>
      <c r="F571" t="s">
        <v>75</v>
      </c>
    </row>
    <row r="572" spans="1:6" x14ac:dyDescent="0.3">
      <c r="A572" s="2">
        <v>45566</v>
      </c>
      <c r="B572" t="s">
        <v>52</v>
      </c>
      <c r="C572">
        <v>300</v>
      </c>
      <c r="D572" s="10">
        <v>52.2</v>
      </c>
      <c r="E572" s="10">
        <v>15660</v>
      </c>
      <c r="F572" t="s">
        <v>75</v>
      </c>
    </row>
    <row r="573" spans="1:6" x14ac:dyDescent="0.3">
      <c r="A573" s="2">
        <v>45597</v>
      </c>
      <c r="B573" t="s">
        <v>52</v>
      </c>
      <c r="C573">
        <v>0</v>
      </c>
      <c r="D573" s="10">
        <v>52.2</v>
      </c>
      <c r="E573" s="10">
        <v>0</v>
      </c>
      <c r="F573" t="s">
        <v>75</v>
      </c>
    </row>
    <row r="574" spans="1:6" x14ac:dyDescent="0.3">
      <c r="A574" s="2">
        <v>45627</v>
      </c>
      <c r="B574" t="s">
        <v>52</v>
      </c>
      <c r="C574">
        <v>0</v>
      </c>
      <c r="D574" s="10">
        <v>52.2</v>
      </c>
      <c r="E574" s="10">
        <v>0</v>
      </c>
      <c r="F574" t="s">
        <v>75</v>
      </c>
    </row>
    <row r="575" spans="1:6" x14ac:dyDescent="0.3">
      <c r="A575" s="2">
        <v>45658</v>
      </c>
      <c r="B575" t="s">
        <v>52</v>
      </c>
      <c r="C575">
        <v>0</v>
      </c>
      <c r="D575" s="10">
        <v>52.2</v>
      </c>
      <c r="E575" s="10">
        <v>0</v>
      </c>
      <c r="F575" t="s">
        <v>75</v>
      </c>
    </row>
    <row r="576" spans="1:6" x14ac:dyDescent="0.3">
      <c r="A576" s="2">
        <v>45689</v>
      </c>
      <c r="B576" t="s">
        <v>52</v>
      </c>
      <c r="C576">
        <v>0</v>
      </c>
      <c r="D576" s="10">
        <v>52.2</v>
      </c>
      <c r="E576" s="10">
        <v>0</v>
      </c>
      <c r="F576" t="s">
        <v>75</v>
      </c>
    </row>
    <row r="577" spans="1:6" x14ac:dyDescent="0.3">
      <c r="A577" s="2">
        <v>45717</v>
      </c>
      <c r="B577" t="s">
        <v>52</v>
      </c>
      <c r="C577">
        <v>0</v>
      </c>
      <c r="D577" s="10">
        <v>52.2</v>
      </c>
      <c r="E577" s="10">
        <v>0</v>
      </c>
      <c r="F577" t="s">
        <v>75</v>
      </c>
    </row>
    <row r="578" spans="1:6" x14ac:dyDescent="0.3">
      <c r="A578" s="2">
        <v>45383</v>
      </c>
      <c r="B578" t="s">
        <v>53</v>
      </c>
      <c r="C578">
        <v>0</v>
      </c>
      <c r="D578" s="10">
        <v>46.49666666666667</v>
      </c>
      <c r="E578" s="10">
        <v>0</v>
      </c>
      <c r="F578" t="s">
        <v>76</v>
      </c>
    </row>
    <row r="579" spans="1:6" x14ac:dyDescent="0.3">
      <c r="A579" s="2">
        <v>45413</v>
      </c>
      <c r="B579" t="s">
        <v>53</v>
      </c>
      <c r="C579">
        <v>0</v>
      </c>
      <c r="D579" s="10">
        <v>46.49666666666667</v>
      </c>
      <c r="E579" s="10">
        <v>0</v>
      </c>
      <c r="F579" t="s">
        <v>76</v>
      </c>
    </row>
    <row r="580" spans="1:6" x14ac:dyDescent="0.3">
      <c r="A580" s="2">
        <v>45444</v>
      </c>
      <c r="B580" t="s">
        <v>53</v>
      </c>
      <c r="C580">
        <v>1000</v>
      </c>
      <c r="D580" s="10">
        <v>66.5</v>
      </c>
      <c r="E580" s="10">
        <v>66500</v>
      </c>
      <c r="F580" t="s">
        <v>76</v>
      </c>
    </row>
    <row r="581" spans="1:6" x14ac:dyDescent="0.3">
      <c r="A581" s="2">
        <v>45474</v>
      </c>
      <c r="B581" t="s">
        <v>53</v>
      </c>
      <c r="C581">
        <v>0</v>
      </c>
      <c r="D581" s="10">
        <v>66.5</v>
      </c>
      <c r="E581" s="10">
        <v>0</v>
      </c>
      <c r="F581" t="s">
        <v>76</v>
      </c>
    </row>
    <row r="582" spans="1:6" x14ac:dyDescent="0.3">
      <c r="A582" s="2">
        <v>45505</v>
      </c>
      <c r="B582" t="s">
        <v>53</v>
      </c>
      <c r="C582">
        <v>0</v>
      </c>
      <c r="D582" s="10">
        <v>66.5</v>
      </c>
      <c r="E582" s="10">
        <v>0</v>
      </c>
      <c r="F582" t="s">
        <v>76</v>
      </c>
    </row>
    <row r="583" spans="1:6" x14ac:dyDescent="0.3">
      <c r="A583" s="2">
        <v>45536</v>
      </c>
      <c r="B583" t="s">
        <v>53</v>
      </c>
      <c r="C583">
        <v>0</v>
      </c>
      <c r="D583" s="10">
        <v>66.5</v>
      </c>
      <c r="E583" s="10">
        <v>0</v>
      </c>
      <c r="F583" t="s">
        <v>76</v>
      </c>
    </row>
    <row r="584" spans="1:6" x14ac:dyDescent="0.3">
      <c r="A584" s="2">
        <v>45566</v>
      </c>
      <c r="B584" t="s">
        <v>53</v>
      </c>
      <c r="C584">
        <v>0</v>
      </c>
      <c r="D584" s="10">
        <v>66.5</v>
      </c>
      <c r="E584" s="10">
        <v>0</v>
      </c>
      <c r="F584" t="s">
        <v>76</v>
      </c>
    </row>
    <row r="585" spans="1:6" x14ac:dyDescent="0.3">
      <c r="A585" s="2">
        <v>45597</v>
      </c>
      <c r="B585" t="s">
        <v>53</v>
      </c>
      <c r="C585">
        <v>500</v>
      </c>
      <c r="D585" s="10">
        <v>7.54</v>
      </c>
      <c r="E585" s="10">
        <v>3770</v>
      </c>
      <c r="F585" t="s">
        <v>76</v>
      </c>
    </row>
    <row r="586" spans="1:6" x14ac:dyDescent="0.3">
      <c r="A586" s="2">
        <v>45627</v>
      </c>
      <c r="B586" t="s">
        <v>53</v>
      </c>
      <c r="C586">
        <v>5000</v>
      </c>
      <c r="D586" s="10">
        <v>7.4249999999999998</v>
      </c>
      <c r="E586" s="10">
        <v>37125</v>
      </c>
      <c r="F586" t="s">
        <v>76</v>
      </c>
    </row>
    <row r="587" spans="1:6" x14ac:dyDescent="0.3">
      <c r="A587" s="2">
        <v>45658</v>
      </c>
      <c r="B587" t="s">
        <v>53</v>
      </c>
      <c r="C587">
        <v>0</v>
      </c>
      <c r="D587" s="10">
        <v>7.4249999999999998</v>
      </c>
      <c r="E587" s="10">
        <v>0</v>
      </c>
      <c r="F587" t="s">
        <v>76</v>
      </c>
    </row>
    <row r="588" spans="1:6" x14ac:dyDescent="0.3">
      <c r="A588" s="2">
        <v>45689</v>
      </c>
      <c r="B588" t="s">
        <v>53</v>
      </c>
      <c r="C588">
        <v>0</v>
      </c>
      <c r="D588" s="10">
        <v>7.4249999999999998</v>
      </c>
      <c r="E588" s="10">
        <v>0</v>
      </c>
      <c r="F588" t="s">
        <v>76</v>
      </c>
    </row>
    <row r="589" spans="1:6" x14ac:dyDescent="0.3">
      <c r="A589" s="2">
        <v>45717</v>
      </c>
      <c r="B589" t="s">
        <v>53</v>
      </c>
      <c r="C589">
        <v>2500</v>
      </c>
      <c r="D589" s="10">
        <v>7.54</v>
      </c>
      <c r="E589" s="10">
        <v>18850</v>
      </c>
      <c r="F589" t="s">
        <v>76</v>
      </c>
    </row>
    <row r="590" spans="1:6" x14ac:dyDescent="0.3">
      <c r="A590" s="2">
        <v>45383</v>
      </c>
      <c r="B590" t="s">
        <v>54</v>
      </c>
      <c r="C590">
        <v>128</v>
      </c>
      <c r="D590" s="10">
        <v>478.359375</v>
      </c>
      <c r="E590" s="10">
        <v>61230</v>
      </c>
      <c r="F590" t="s">
        <v>76</v>
      </c>
    </row>
    <row r="591" spans="1:6" x14ac:dyDescent="0.3">
      <c r="A591" s="2">
        <v>45413</v>
      </c>
      <c r="B591" t="s">
        <v>54</v>
      </c>
      <c r="C591">
        <v>511</v>
      </c>
      <c r="D591" s="10">
        <v>459.95855185909983</v>
      </c>
      <c r="E591" s="10">
        <v>235038.82</v>
      </c>
      <c r="F591" t="s">
        <v>76</v>
      </c>
    </row>
    <row r="592" spans="1:6" x14ac:dyDescent="0.3">
      <c r="A592" s="2">
        <v>45444</v>
      </c>
      <c r="B592" t="s">
        <v>54</v>
      </c>
      <c r="C592">
        <v>244</v>
      </c>
      <c r="D592" s="10">
        <v>431.44557377049182</v>
      </c>
      <c r="E592" s="10">
        <v>105272.72</v>
      </c>
      <c r="F592" t="s">
        <v>76</v>
      </c>
    </row>
    <row r="593" spans="1:6" x14ac:dyDescent="0.3">
      <c r="A593" s="2">
        <v>45474</v>
      </c>
      <c r="B593" t="s">
        <v>54</v>
      </c>
      <c r="C593">
        <v>6</v>
      </c>
      <c r="D593" s="10">
        <v>447.5</v>
      </c>
      <c r="E593" s="10">
        <v>2685</v>
      </c>
      <c r="F593" t="s">
        <v>76</v>
      </c>
    </row>
    <row r="594" spans="1:6" x14ac:dyDescent="0.3">
      <c r="A594" s="2">
        <v>45505</v>
      </c>
      <c r="B594" t="s">
        <v>54</v>
      </c>
      <c r="C594">
        <v>25</v>
      </c>
      <c r="D594" s="10">
        <v>495</v>
      </c>
      <c r="E594" s="10">
        <v>12375</v>
      </c>
      <c r="F594" t="s">
        <v>76</v>
      </c>
    </row>
    <row r="595" spans="1:6" x14ac:dyDescent="0.3">
      <c r="A595" s="2">
        <v>45536</v>
      </c>
      <c r="B595" t="s">
        <v>54</v>
      </c>
      <c r="C595">
        <v>30</v>
      </c>
      <c r="D595" s="10">
        <v>495</v>
      </c>
      <c r="E595" s="10">
        <v>14850</v>
      </c>
      <c r="F595" t="s">
        <v>76</v>
      </c>
    </row>
    <row r="596" spans="1:6" x14ac:dyDescent="0.3">
      <c r="A596" s="2">
        <v>45566</v>
      </c>
      <c r="B596" t="s">
        <v>54</v>
      </c>
      <c r="C596">
        <v>0</v>
      </c>
      <c r="D596" s="10">
        <v>495</v>
      </c>
      <c r="E596" s="10">
        <v>0</v>
      </c>
      <c r="F596" t="s">
        <v>76</v>
      </c>
    </row>
    <row r="597" spans="1:6" x14ac:dyDescent="0.3">
      <c r="A597" s="2">
        <v>45597</v>
      </c>
      <c r="B597" t="s">
        <v>54</v>
      </c>
      <c r="C597">
        <v>100</v>
      </c>
      <c r="D597" s="10">
        <v>514.5</v>
      </c>
      <c r="E597" s="10">
        <v>51450</v>
      </c>
      <c r="F597" t="s">
        <v>76</v>
      </c>
    </row>
    <row r="598" spans="1:6" x14ac:dyDescent="0.3">
      <c r="A598" s="2">
        <v>45627</v>
      </c>
      <c r="B598" t="s">
        <v>54</v>
      </c>
      <c r="C598">
        <v>0</v>
      </c>
      <c r="D598" s="10">
        <v>514.5</v>
      </c>
      <c r="E598" s="10">
        <v>0</v>
      </c>
      <c r="F598" t="s">
        <v>76</v>
      </c>
    </row>
    <row r="599" spans="1:6" x14ac:dyDescent="0.3">
      <c r="A599" s="2">
        <v>45658</v>
      </c>
      <c r="B599" t="s">
        <v>54</v>
      </c>
      <c r="C599">
        <v>0</v>
      </c>
      <c r="D599" s="10">
        <v>514.5</v>
      </c>
      <c r="E599" s="10">
        <v>0</v>
      </c>
      <c r="F599" t="s">
        <v>76</v>
      </c>
    </row>
    <row r="600" spans="1:6" x14ac:dyDescent="0.3">
      <c r="A600" s="2">
        <v>45689</v>
      </c>
      <c r="B600" t="s">
        <v>54</v>
      </c>
      <c r="C600">
        <v>329</v>
      </c>
      <c r="D600" s="10">
        <v>468.96164133738603</v>
      </c>
      <c r="E600" s="10">
        <v>154288.38</v>
      </c>
      <c r="F600" t="s">
        <v>76</v>
      </c>
    </row>
    <row r="601" spans="1:6" x14ac:dyDescent="0.3">
      <c r="A601" s="2">
        <v>45717</v>
      </c>
      <c r="B601" t="s">
        <v>54</v>
      </c>
      <c r="C601">
        <v>0</v>
      </c>
      <c r="D601" s="10">
        <v>468.96164133738603</v>
      </c>
      <c r="E601" s="10">
        <v>0</v>
      </c>
      <c r="F601" t="s">
        <v>76</v>
      </c>
    </row>
    <row r="602" spans="1:6" x14ac:dyDescent="0.3">
      <c r="A602" s="2">
        <v>45383</v>
      </c>
      <c r="B602" t="s">
        <v>55</v>
      </c>
      <c r="C602">
        <v>0</v>
      </c>
      <c r="D602" s="10">
        <v>8.3039699999999996</v>
      </c>
      <c r="E602" s="10">
        <v>0</v>
      </c>
      <c r="F602" t="s">
        <v>76</v>
      </c>
    </row>
    <row r="603" spans="1:6" x14ac:dyDescent="0.3">
      <c r="A603" s="2">
        <v>45413</v>
      </c>
      <c r="B603" t="s">
        <v>55</v>
      </c>
      <c r="C603">
        <v>5000</v>
      </c>
      <c r="D603" s="10">
        <v>8.4825499999999998</v>
      </c>
      <c r="E603" s="10">
        <v>42412.75</v>
      </c>
      <c r="F603" t="s">
        <v>76</v>
      </c>
    </row>
    <row r="604" spans="1:6" x14ac:dyDescent="0.3">
      <c r="A604" s="2">
        <v>45444</v>
      </c>
      <c r="B604" t="s">
        <v>55</v>
      </c>
      <c r="C604">
        <v>0</v>
      </c>
      <c r="D604" s="10">
        <v>8.4825499999999998</v>
      </c>
      <c r="E604" s="10">
        <v>0</v>
      </c>
      <c r="F604" t="s">
        <v>76</v>
      </c>
    </row>
    <row r="605" spans="1:6" x14ac:dyDescent="0.3">
      <c r="A605" s="2">
        <v>45474</v>
      </c>
      <c r="B605" t="s">
        <v>55</v>
      </c>
      <c r="C605">
        <v>0</v>
      </c>
      <c r="D605" s="10">
        <v>8.4825499999999998</v>
      </c>
      <c r="E605" s="10">
        <v>0</v>
      </c>
      <c r="F605" t="s">
        <v>76</v>
      </c>
    </row>
    <row r="606" spans="1:6" x14ac:dyDescent="0.3">
      <c r="A606" s="2">
        <v>45505</v>
      </c>
      <c r="B606" t="s">
        <v>55</v>
      </c>
      <c r="C606">
        <v>2500</v>
      </c>
      <c r="D606" s="10">
        <v>8.4825479999999995</v>
      </c>
      <c r="E606" s="10">
        <v>21206.37</v>
      </c>
      <c r="F606" t="s">
        <v>76</v>
      </c>
    </row>
    <row r="607" spans="1:6" x14ac:dyDescent="0.3">
      <c r="A607" s="2">
        <v>45536</v>
      </c>
      <c r="B607" t="s">
        <v>55</v>
      </c>
      <c r="C607">
        <v>0</v>
      </c>
      <c r="D607" s="10">
        <v>8.4825479999999995</v>
      </c>
      <c r="E607" s="10">
        <v>0</v>
      </c>
      <c r="F607" t="s">
        <v>76</v>
      </c>
    </row>
    <row r="608" spans="1:6" x14ac:dyDescent="0.3">
      <c r="A608" s="2">
        <v>45566</v>
      </c>
      <c r="B608" t="s">
        <v>55</v>
      </c>
      <c r="C608">
        <v>5500</v>
      </c>
      <c r="D608" s="10">
        <v>8.4825490909090924</v>
      </c>
      <c r="E608" s="10">
        <v>46654.020000000011</v>
      </c>
      <c r="F608" t="s">
        <v>76</v>
      </c>
    </row>
    <row r="609" spans="1:6" x14ac:dyDescent="0.3">
      <c r="A609" s="2">
        <v>45597</v>
      </c>
      <c r="B609" t="s">
        <v>55</v>
      </c>
      <c r="C609">
        <v>0</v>
      </c>
      <c r="D609" s="10">
        <v>8.4825490909090924</v>
      </c>
      <c r="E609" s="10">
        <v>0</v>
      </c>
      <c r="F609" t="s">
        <v>76</v>
      </c>
    </row>
    <row r="610" spans="1:6" x14ac:dyDescent="0.3">
      <c r="A610" s="2">
        <v>45627</v>
      </c>
      <c r="B610" t="s">
        <v>55</v>
      </c>
      <c r="C610">
        <v>0</v>
      </c>
      <c r="D610" s="10">
        <v>8.4825490909090924</v>
      </c>
      <c r="E610" s="10">
        <v>0</v>
      </c>
      <c r="F610" t="s">
        <v>76</v>
      </c>
    </row>
    <row r="611" spans="1:6" x14ac:dyDescent="0.3">
      <c r="A611" s="2">
        <v>45658</v>
      </c>
      <c r="B611" t="s">
        <v>55</v>
      </c>
      <c r="C611">
        <v>0</v>
      </c>
      <c r="D611" s="10">
        <v>8.4825490909090924</v>
      </c>
      <c r="E611" s="10">
        <v>0</v>
      </c>
      <c r="F611" t="s">
        <v>76</v>
      </c>
    </row>
    <row r="612" spans="1:6" x14ac:dyDescent="0.3">
      <c r="A612" s="2">
        <v>45689</v>
      </c>
      <c r="B612" t="s">
        <v>55</v>
      </c>
      <c r="C612">
        <v>0</v>
      </c>
      <c r="D612" s="10">
        <v>8.4825490909090924</v>
      </c>
      <c r="E612" s="10">
        <v>0</v>
      </c>
      <c r="F612" t="s">
        <v>76</v>
      </c>
    </row>
    <row r="613" spans="1:6" x14ac:dyDescent="0.3">
      <c r="A613" s="2">
        <v>45717</v>
      </c>
      <c r="B613" t="s">
        <v>55</v>
      </c>
      <c r="C613">
        <v>0</v>
      </c>
      <c r="D613" s="10">
        <v>8.4825490909090924</v>
      </c>
      <c r="E613" s="10">
        <v>0</v>
      </c>
      <c r="F613" t="s">
        <v>76</v>
      </c>
    </row>
    <row r="614" spans="1:6" x14ac:dyDescent="0.3">
      <c r="A614" s="2">
        <v>45383</v>
      </c>
      <c r="B614" t="s">
        <v>56</v>
      </c>
      <c r="C614">
        <v>0</v>
      </c>
      <c r="D614" s="10">
        <v>33928.57</v>
      </c>
      <c r="E614" s="10">
        <v>0</v>
      </c>
      <c r="F614" t="s">
        <v>76</v>
      </c>
    </row>
    <row r="615" spans="1:6" x14ac:dyDescent="0.3">
      <c r="A615" s="2">
        <v>45413</v>
      </c>
      <c r="B615" t="s">
        <v>56</v>
      </c>
      <c r="C615">
        <v>0</v>
      </c>
      <c r="D615" s="10">
        <v>33928.57</v>
      </c>
      <c r="E615" s="10">
        <v>0</v>
      </c>
      <c r="F615" t="s">
        <v>76</v>
      </c>
    </row>
    <row r="616" spans="1:6" x14ac:dyDescent="0.3">
      <c r="A616" s="2">
        <v>45444</v>
      </c>
      <c r="B616" t="s">
        <v>56</v>
      </c>
      <c r="C616">
        <v>0</v>
      </c>
      <c r="D616" s="10">
        <v>33928.57</v>
      </c>
      <c r="E616" s="10">
        <v>0</v>
      </c>
      <c r="F616" t="s">
        <v>76</v>
      </c>
    </row>
    <row r="617" spans="1:6" x14ac:dyDescent="0.3">
      <c r="A617" s="2">
        <v>45474</v>
      </c>
      <c r="B617" t="s">
        <v>56</v>
      </c>
      <c r="C617">
        <v>1</v>
      </c>
      <c r="D617" s="10">
        <v>26785.71</v>
      </c>
      <c r="E617" s="10">
        <v>26785.71</v>
      </c>
      <c r="F617" t="s">
        <v>76</v>
      </c>
    </row>
    <row r="618" spans="1:6" x14ac:dyDescent="0.3">
      <c r="A618" s="2">
        <v>45505</v>
      </c>
      <c r="B618" t="s">
        <v>56</v>
      </c>
      <c r="C618">
        <v>0</v>
      </c>
      <c r="D618" s="10">
        <v>26785.71</v>
      </c>
      <c r="E618" s="10">
        <v>0</v>
      </c>
      <c r="F618" t="s">
        <v>76</v>
      </c>
    </row>
    <row r="619" spans="1:6" x14ac:dyDescent="0.3">
      <c r="A619" s="2">
        <v>45536</v>
      </c>
      <c r="B619" t="s">
        <v>56</v>
      </c>
      <c r="C619">
        <v>0</v>
      </c>
      <c r="D619" s="10">
        <v>26785.71</v>
      </c>
      <c r="E619" s="10">
        <v>0</v>
      </c>
      <c r="F619" t="s">
        <v>76</v>
      </c>
    </row>
    <row r="620" spans="1:6" x14ac:dyDescent="0.3">
      <c r="A620" s="2">
        <v>45566</v>
      </c>
      <c r="B620" t="s">
        <v>56</v>
      </c>
      <c r="C620">
        <v>2</v>
      </c>
      <c r="D620" s="10">
        <v>26339.285</v>
      </c>
      <c r="E620" s="10">
        <v>52678.57</v>
      </c>
      <c r="F620" t="s">
        <v>76</v>
      </c>
    </row>
    <row r="621" spans="1:6" x14ac:dyDescent="0.3">
      <c r="A621" s="2">
        <v>45597</v>
      </c>
      <c r="B621" t="s">
        <v>56</v>
      </c>
      <c r="C621">
        <v>0</v>
      </c>
      <c r="D621" s="10">
        <v>26339.285</v>
      </c>
      <c r="E621" s="10">
        <v>0</v>
      </c>
      <c r="F621" t="s">
        <v>76</v>
      </c>
    </row>
    <row r="622" spans="1:6" x14ac:dyDescent="0.3">
      <c r="A622" s="2">
        <v>45627</v>
      </c>
      <c r="B622" t="s">
        <v>56</v>
      </c>
      <c r="C622">
        <v>0</v>
      </c>
      <c r="D622" s="10">
        <v>26339.285</v>
      </c>
      <c r="E622" s="10">
        <v>0</v>
      </c>
      <c r="F622" t="s">
        <v>76</v>
      </c>
    </row>
    <row r="623" spans="1:6" x14ac:dyDescent="0.3">
      <c r="A623" s="2">
        <v>45658</v>
      </c>
      <c r="B623" t="s">
        <v>56</v>
      </c>
      <c r="C623">
        <v>0</v>
      </c>
      <c r="D623" s="10">
        <v>26339.285</v>
      </c>
      <c r="E623" s="10">
        <v>0</v>
      </c>
      <c r="F623" t="s">
        <v>76</v>
      </c>
    </row>
    <row r="624" spans="1:6" x14ac:dyDescent="0.3">
      <c r="A624" s="2">
        <v>45689</v>
      </c>
      <c r="B624" t="s">
        <v>56</v>
      </c>
      <c r="C624">
        <v>1</v>
      </c>
      <c r="D624" s="10">
        <v>23215</v>
      </c>
      <c r="E624" s="10">
        <v>23215</v>
      </c>
      <c r="F624" t="s">
        <v>76</v>
      </c>
    </row>
    <row r="625" spans="1:6" x14ac:dyDescent="0.3">
      <c r="A625" s="2">
        <v>45717</v>
      </c>
      <c r="B625" t="s">
        <v>56</v>
      </c>
      <c r="C625">
        <v>0</v>
      </c>
      <c r="D625" s="10">
        <v>23215</v>
      </c>
      <c r="E625" s="10">
        <v>0</v>
      </c>
      <c r="F625" t="s">
        <v>76</v>
      </c>
    </row>
    <row r="626" spans="1:6" x14ac:dyDescent="0.3">
      <c r="A626" s="2">
        <v>45383</v>
      </c>
      <c r="B626" t="s">
        <v>57</v>
      </c>
      <c r="C626">
        <v>750</v>
      </c>
      <c r="D626" s="10">
        <v>35</v>
      </c>
      <c r="E626" s="10">
        <v>26250</v>
      </c>
      <c r="F626" t="s">
        <v>76</v>
      </c>
    </row>
    <row r="627" spans="1:6" x14ac:dyDescent="0.3">
      <c r="A627" s="2">
        <v>45413</v>
      </c>
      <c r="B627" t="s">
        <v>57</v>
      </c>
      <c r="C627">
        <v>2160</v>
      </c>
      <c r="D627" s="10">
        <v>32</v>
      </c>
      <c r="E627" s="10">
        <v>69120</v>
      </c>
      <c r="F627" t="s">
        <v>76</v>
      </c>
    </row>
    <row r="628" spans="1:6" x14ac:dyDescent="0.3">
      <c r="A628" s="2">
        <v>45444</v>
      </c>
      <c r="B628" t="s">
        <v>57</v>
      </c>
      <c r="C628">
        <v>0</v>
      </c>
      <c r="D628" s="10">
        <v>32</v>
      </c>
      <c r="E628" s="10">
        <v>0</v>
      </c>
      <c r="F628" t="s">
        <v>76</v>
      </c>
    </row>
    <row r="629" spans="1:6" x14ac:dyDescent="0.3">
      <c r="A629" s="2">
        <v>45474</v>
      </c>
      <c r="B629" t="s">
        <v>57</v>
      </c>
      <c r="C629">
        <v>0</v>
      </c>
      <c r="D629" s="10">
        <v>32</v>
      </c>
      <c r="E629" s="10">
        <v>0</v>
      </c>
      <c r="F629" t="s">
        <v>76</v>
      </c>
    </row>
    <row r="630" spans="1:6" x14ac:dyDescent="0.3">
      <c r="A630" s="2">
        <v>45505</v>
      </c>
      <c r="B630" t="s">
        <v>57</v>
      </c>
      <c r="C630">
        <v>0</v>
      </c>
      <c r="D630" s="10">
        <v>32</v>
      </c>
      <c r="E630" s="10">
        <v>0</v>
      </c>
      <c r="F630" t="s">
        <v>76</v>
      </c>
    </row>
    <row r="631" spans="1:6" x14ac:dyDescent="0.3">
      <c r="A631" s="2">
        <v>45536</v>
      </c>
      <c r="B631" t="s">
        <v>57</v>
      </c>
      <c r="C631">
        <v>0</v>
      </c>
      <c r="D631" s="10">
        <v>32</v>
      </c>
      <c r="E631" s="10">
        <v>0</v>
      </c>
      <c r="F631" t="s">
        <v>76</v>
      </c>
    </row>
    <row r="632" spans="1:6" x14ac:dyDescent="0.3">
      <c r="A632" s="2">
        <v>45566</v>
      </c>
      <c r="B632" t="s">
        <v>57</v>
      </c>
      <c r="C632">
        <v>0</v>
      </c>
      <c r="D632" s="10">
        <v>32</v>
      </c>
      <c r="E632" s="10">
        <v>0</v>
      </c>
      <c r="F632" t="s">
        <v>76</v>
      </c>
    </row>
    <row r="633" spans="1:6" x14ac:dyDescent="0.3">
      <c r="A633" s="2">
        <v>45597</v>
      </c>
      <c r="B633" t="s">
        <v>57</v>
      </c>
      <c r="C633">
        <v>0</v>
      </c>
      <c r="D633" s="10">
        <v>32</v>
      </c>
      <c r="E633" s="10">
        <v>0</v>
      </c>
      <c r="F633" t="s">
        <v>76</v>
      </c>
    </row>
    <row r="634" spans="1:6" x14ac:dyDescent="0.3">
      <c r="A634" s="2">
        <v>45627</v>
      </c>
      <c r="B634" t="s">
        <v>57</v>
      </c>
      <c r="C634">
        <v>0</v>
      </c>
      <c r="D634" s="10">
        <v>32</v>
      </c>
      <c r="E634" s="10">
        <v>0</v>
      </c>
      <c r="F634" t="s">
        <v>76</v>
      </c>
    </row>
    <row r="635" spans="1:6" x14ac:dyDescent="0.3">
      <c r="A635" s="2">
        <v>45658</v>
      </c>
      <c r="B635" t="s">
        <v>57</v>
      </c>
      <c r="C635">
        <v>0</v>
      </c>
      <c r="D635" s="10">
        <v>32</v>
      </c>
      <c r="E635" s="10">
        <v>0</v>
      </c>
      <c r="F635" t="s">
        <v>76</v>
      </c>
    </row>
    <row r="636" spans="1:6" x14ac:dyDescent="0.3">
      <c r="A636" s="2">
        <v>45689</v>
      </c>
      <c r="B636" t="s">
        <v>57</v>
      </c>
      <c r="C636">
        <v>0</v>
      </c>
      <c r="D636" s="10">
        <v>32</v>
      </c>
      <c r="E636" s="10">
        <v>0</v>
      </c>
      <c r="F636" t="s">
        <v>76</v>
      </c>
    </row>
    <row r="637" spans="1:6" x14ac:dyDescent="0.3">
      <c r="A637" s="2">
        <v>45717</v>
      </c>
      <c r="B637" t="s">
        <v>57</v>
      </c>
      <c r="C637">
        <v>0</v>
      </c>
      <c r="D637" s="10">
        <v>32</v>
      </c>
      <c r="E637" s="10">
        <v>0</v>
      </c>
      <c r="F637" t="s">
        <v>76</v>
      </c>
    </row>
    <row r="638" spans="1:6" x14ac:dyDescent="0.3">
      <c r="A638" s="2">
        <v>45383</v>
      </c>
      <c r="B638" t="s">
        <v>58</v>
      </c>
      <c r="C638">
        <v>0</v>
      </c>
      <c r="D638" s="10">
        <v>38</v>
      </c>
      <c r="E638" s="10">
        <v>0</v>
      </c>
      <c r="F638" t="s">
        <v>76</v>
      </c>
    </row>
    <row r="639" spans="1:6" x14ac:dyDescent="0.3">
      <c r="A639" s="2">
        <v>45413</v>
      </c>
      <c r="B639" t="s">
        <v>58</v>
      </c>
      <c r="C639">
        <v>0</v>
      </c>
      <c r="D639" s="10">
        <v>38</v>
      </c>
      <c r="E639" s="10">
        <v>0</v>
      </c>
      <c r="F639" t="s">
        <v>76</v>
      </c>
    </row>
    <row r="640" spans="1:6" x14ac:dyDescent="0.3">
      <c r="A640" s="2">
        <v>45444</v>
      </c>
      <c r="B640" t="s">
        <v>58</v>
      </c>
      <c r="C640">
        <v>0</v>
      </c>
      <c r="D640" s="10">
        <v>38</v>
      </c>
      <c r="E640" s="10">
        <v>0</v>
      </c>
      <c r="F640" t="s">
        <v>76</v>
      </c>
    </row>
    <row r="641" spans="1:6" x14ac:dyDescent="0.3">
      <c r="A641" s="2">
        <v>45474</v>
      </c>
      <c r="B641" t="s">
        <v>58</v>
      </c>
      <c r="C641">
        <v>0</v>
      </c>
      <c r="D641" s="10">
        <v>38</v>
      </c>
      <c r="E641" s="10">
        <v>0</v>
      </c>
      <c r="F641" t="s">
        <v>76</v>
      </c>
    </row>
    <row r="642" spans="1:6" x14ac:dyDescent="0.3">
      <c r="A642" s="2">
        <v>45505</v>
      </c>
      <c r="B642" t="s">
        <v>58</v>
      </c>
      <c r="C642">
        <v>2500</v>
      </c>
      <c r="D642" s="10">
        <v>38</v>
      </c>
      <c r="E642" s="10">
        <v>95000</v>
      </c>
      <c r="F642" t="s">
        <v>76</v>
      </c>
    </row>
    <row r="643" spans="1:6" x14ac:dyDescent="0.3">
      <c r="A643" s="2">
        <v>45536</v>
      </c>
      <c r="B643" t="s">
        <v>58</v>
      </c>
      <c r="C643">
        <v>0</v>
      </c>
      <c r="D643" s="10">
        <v>38</v>
      </c>
      <c r="E643" s="10">
        <v>0</v>
      </c>
      <c r="F643" t="s">
        <v>76</v>
      </c>
    </row>
    <row r="644" spans="1:6" x14ac:dyDescent="0.3">
      <c r="A644" s="2">
        <v>45566</v>
      </c>
      <c r="B644" t="s">
        <v>58</v>
      </c>
      <c r="C644">
        <v>0</v>
      </c>
      <c r="D644" s="10">
        <v>38</v>
      </c>
      <c r="E644" s="10">
        <v>0</v>
      </c>
      <c r="F644" t="s">
        <v>76</v>
      </c>
    </row>
    <row r="645" spans="1:6" x14ac:dyDescent="0.3">
      <c r="A645" s="2">
        <v>45597</v>
      </c>
      <c r="B645" t="s">
        <v>58</v>
      </c>
      <c r="C645">
        <v>0</v>
      </c>
      <c r="D645" s="10">
        <v>38</v>
      </c>
      <c r="E645" s="10">
        <v>0</v>
      </c>
      <c r="F645" t="s">
        <v>76</v>
      </c>
    </row>
    <row r="646" spans="1:6" x14ac:dyDescent="0.3">
      <c r="A646" s="2">
        <v>45627</v>
      </c>
      <c r="B646" t="s">
        <v>58</v>
      </c>
      <c r="C646">
        <v>0</v>
      </c>
      <c r="D646" s="10">
        <v>38</v>
      </c>
      <c r="E646" s="10">
        <v>0</v>
      </c>
      <c r="F646" t="s">
        <v>76</v>
      </c>
    </row>
    <row r="647" spans="1:6" x14ac:dyDescent="0.3">
      <c r="A647" s="2">
        <v>45658</v>
      </c>
      <c r="B647" t="s">
        <v>58</v>
      </c>
      <c r="C647">
        <v>0</v>
      </c>
      <c r="D647" s="10">
        <v>38</v>
      </c>
      <c r="E647" s="10">
        <v>0</v>
      </c>
      <c r="F647" t="s">
        <v>76</v>
      </c>
    </row>
    <row r="648" spans="1:6" x14ac:dyDescent="0.3">
      <c r="A648" s="2">
        <v>45689</v>
      </c>
      <c r="B648" t="s">
        <v>58</v>
      </c>
      <c r="C648">
        <v>0</v>
      </c>
      <c r="D648" s="10">
        <v>38</v>
      </c>
      <c r="E648" s="10">
        <v>0</v>
      </c>
      <c r="F648" t="s">
        <v>76</v>
      </c>
    </row>
    <row r="649" spans="1:6" x14ac:dyDescent="0.3">
      <c r="A649" s="2">
        <v>45717</v>
      </c>
      <c r="B649" t="s">
        <v>58</v>
      </c>
      <c r="C649">
        <v>0</v>
      </c>
      <c r="D649" s="10">
        <v>38</v>
      </c>
      <c r="E649" s="10">
        <v>0</v>
      </c>
      <c r="F649" t="s">
        <v>76</v>
      </c>
    </row>
    <row r="650" spans="1:6" x14ac:dyDescent="0.3">
      <c r="A650" s="2">
        <v>45383</v>
      </c>
      <c r="B650" t="s">
        <v>59</v>
      </c>
      <c r="C650">
        <v>100</v>
      </c>
      <c r="D650" s="10">
        <v>170</v>
      </c>
      <c r="E650" s="10">
        <v>17000</v>
      </c>
      <c r="F650" t="s">
        <v>76</v>
      </c>
    </row>
    <row r="651" spans="1:6" x14ac:dyDescent="0.3">
      <c r="A651" s="2">
        <v>45413</v>
      </c>
      <c r="B651" t="s">
        <v>59</v>
      </c>
      <c r="C651">
        <v>200</v>
      </c>
      <c r="D651" s="10">
        <v>170</v>
      </c>
      <c r="E651" s="10">
        <v>34000</v>
      </c>
      <c r="F651" t="s">
        <v>76</v>
      </c>
    </row>
    <row r="652" spans="1:6" x14ac:dyDescent="0.3">
      <c r="A652" s="2">
        <v>45444</v>
      </c>
      <c r="B652" t="s">
        <v>59</v>
      </c>
      <c r="C652">
        <v>0</v>
      </c>
      <c r="D652" s="10">
        <v>170</v>
      </c>
      <c r="E652" s="10">
        <v>0</v>
      </c>
      <c r="F652" t="s">
        <v>76</v>
      </c>
    </row>
    <row r="653" spans="1:6" x14ac:dyDescent="0.3">
      <c r="A653" s="2">
        <v>45474</v>
      </c>
      <c r="B653" t="s">
        <v>59</v>
      </c>
      <c r="C653">
        <v>140</v>
      </c>
      <c r="D653" s="10">
        <v>164.9</v>
      </c>
      <c r="E653" s="10">
        <v>23086</v>
      </c>
      <c r="F653" t="s">
        <v>76</v>
      </c>
    </row>
    <row r="654" spans="1:6" x14ac:dyDescent="0.3">
      <c r="A654" s="2">
        <v>45505</v>
      </c>
      <c r="B654" t="s">
        <v>59</v>
      </c>
      <c r="C654">
        <v>0</v>
      </c>
      <c r="D654" s="10">
        <v>164.9</v>
      </c>
      <c r="E654" s="10">
        <v>0</v>
      </c>
      <c r="F654" t="s">
        <v>76</v>
      </c>
    </row>
    <row r="655" spans="1:6" x14ac:dyDescent="0.3">
      <c r="A655" s="2">
        <v>45536</v>
      </c>
      <c r="B655" t="s">
        <v>59</v>
      </c>
      <c r="C655">
        <v>0</v>
      </c>
      <c r="D655" s="10">
        <v>164.9</v>
      </c>
      <c r="E655" s="10">
        <v>0</v>
      </c>
      <c r="F655" t="s">
        <v>76</v>
      </c>
    </row>
    <row r="656" spans="1:6" x14ac:dyDescent="0.3">
      <c r="A656" s="2">
        <v>45566</v>
      </c>
      <c r="B656" t="s">
        <v>59</v>
      </c>
      <c r="C656">
        <v>0</v>
      </c>
      <c r="D656" s="10">
        <v>164.9</v>
      </c>
      <c r="E656" s="10">
        <v>0</v>
      </c>
      <c r="F656" t="s">
        <v>76</v>
      </c>
    </row>
    <row r="657" spans="1:6" x14ac:dyDescent="0.3">
      <c r="A657" s="2">
        <v>45597</v>
      </c>
      <c r="B657" t="s">
        <v>59</v>
      </c>
      <c r="C657">
        <v>0</v>
      </c>
      <c r="D657" s="10">
        <v>164.9</v>
      </c>
      <c r="E657" s="10">
        <v>0</v>
      </c>
      <c r="F657" t="s">
        <v>76</v>
      </c>
    </row>
    <row r="658" spans="1:6" x14ac:dyDescent="0.3">
      <c r="A658" s="2">
        <v>45627</v>
      </c>
      <c r="B658" t="s">
        <v>59</v>
      </c>
      <c r="C658">
        <v>0</v>
      </c>
      <c r="D658" s="10">
        <v>164.9</v>
      </c>
      <c r="E658" s="10">
        <v>0</v>
      </c>
      <c r="F658" t="s">
        <v>76</v>
      </c>
    </row>
    <row r="659" spans="1:6" x14ac:dyDescent="0.3">
      <c r="A659" s="2">
        <v>45658</v>
      </c>
      <c r="B659" t="s">
        <v>59</v>
      </c>
      <c r="C659">
        <v>0</v>
      </c>
      <c r="D659" s="10">
        <v>164.9</v>
      </c>
      <c r="E659" s="10">
        <v>0</v>
      </c>
      <c r="F659" t="s">
        <v>76</v>
      </c>
    </row>
    <row r="660" spans="1:6" x14ac:dyDescent="0.3">
      <c r="A660" s="2">
        <v>45689</v>
      </c>
      <c r="B660" t="s">
        <v>59</v>
      </c>
      <c r="C660">
        <v>100</v>
      </c>
      <c r="D660" s="10">
        <v>170</v>
      </c>
      <c r="E660" s="10">
        <v>17000</v>
      </c>
      <c r="F660" t="s">
        <v>76</v>
      </c>
    </row>
    <row r="661" spans="1:6" x14ac:dyDescent="0.3">
      <c r="A661" s="2">
        <v>45717</v>
      </c>
      <c r="B661" t="s">
        <v>59</v>
      </c>
      <c r="C661">
        <v>0</v>
      </c>
      <c r="D661" s="10">
        <v>170</v>
      </c>
      <c r="E661" s="10">
        <v>0</v>
      </c>
      <c r="F661" t="s">
        <v>76</v>
      </c>
    </row>
    <row r="662" spans="1:6" x14ac:dyDescent="0.3">
      <c r="A662" s="2">
        <v>45383</v>
      </c>
      <c r="B662" t="s">
        <v>60</v>
      </c>
      <c r="C662">
        <v>0</v>
      </c>
      <c r="D662" s="10">
        <v>825</v>
      </c>
      <c r="E662" s="10">
        <v>0</v>
      </c>
      <c r="F662" t="s">
        <v>76</v>
      </c>
    </row>
    <row r="663" spans="1:6" x14ac:dyDescent="0.3">
      <c r="A663" s="2">
        <v>45413</v>
      </c>
      <c r="B663" t="s">
        <v>60</v>
      </c>
      <c r="C663">
        <v>0</v>
      </c>
      <c r="D663" s="10">
        <v>825</v>
      </c>
      <c r="E663" s="10">
        <v>0</v>
      </c>
      <c r="F663" t="s">
        <v>76</v>
      </c>
    </row>
    <row r="664" spans="1:6" x14ac:dyDescent="0.3">
      <c r="A664" s="2">
        <v>45444</v>
      </c>
      <c r="B664" t="s">
        <v>60</v>
      </c>
      <c r="C664">
        <v>0</v>
      </c>
      <c r="D664" s="10">
        <v>825</v>
      </c>
      <c r="E664" s="10">
        <v>0</v>
      </c>
      <c r="F664" t="s">
        <v>76</v>
      </c>
    </row>
    <row r="665" spans="1:6" x14ac:dyDescent="0.3">
      <c r="A665" s="2">
        <v>45474</v>
      </c>
      <c r="B665" t="s">
        <v>60</v>
      </c>
      <c r="C665">
        <v>32</v>
      </c>
      <c r="D665" s="10">
        <v>900</v>
      </c>
      <c r="E665" s="10">
        <v>28800</v>
      </c>
      <c r="F665" t="s">
        <v>76</v>
      </c>
    </row>
    <row r="666" spans="1:6" x14ac:dyDescent="0.3">
      <c r="A666" s="2">
        <v>45505</v>
      </c>
      <c r="B666" t="s">
        <v>60</v>
      </c>
      <c r="C666">
        <v>0</v>
      </c>
      <c r="D666" s="10">
        <v>900</v>
      </c>
      <c r="E666" s="10">
        <v>0</v>
      </c>
      <c r="F666" t="s">
        <v>76</v>
      </c>
    </row>
    <row r="667" spans="1:6" x14ac:dyDescent="0.3">
      <c r="A667" s="2">
        <v>45536</v>
      </c>
      <c r="B667" t="s">
        <v>60</v>
      </c>
      <c r="C667">
        <v>0</v>
      </c>
      <c r="D667" s="10">
        <v>900</v>
      </c>
      <c r="E667" s="10">
        <v>0</v>
      </c>
      <c r="F667" t="s">
        <v>76</v>
      </c>
    </row>
    <row r="668" spans="1:6" x14ac:dyDescent="0.3">
      <c r="A668" s="2">
        <v>45566</v>
      </c>
      <c r="B668" t="s">
        <v>60</v>
      </c>
      <c r="C668">
        <v>32</v>
      </c>
      <c r="D668" s="10">
        <v>900</v>
      </c>
      <c r="E668" s="10">
        <v>28800</v>
      </c>
      <c r="F668" t="s">
        <v>76</v>
      </c>
    </row>
    <row r="669" spans="1:6" x14ac:dyDescent="0.3">
      <c r="A669" s="2">
        <v>45597</v>
      </c>
      <c r="B669" t="s">
        <v>60</v>
      </c>
      <c r="C669">
        <v>0</v>
      </c>
      <c r="D669" s="10">
        <v>900</v>
      </c>
      <c r="E669" s="10">
        <v>0</v>
      </c>
      <c r="F669" t="s">
        <v>76</v>
      </c>
    </row>
    <row r="670" spans="1:6" x14ac:dyDescent="0.3">
      <c r="A670" s="2">
        <v>45627</v>
      </c>
      <c r="B670" t="s">
        <v>60</v>
      </c>
      <c r="C670">
        <v>32</v>
      </c>
      <c r="D670" s="10">
        <v>900</v>
      </c>
      <c r="E670" s="10">
        <v>28800</v>
      </c>
      <c r="F670" t="s">
        <v>76</v>
      </c>
    </row>
    <row r="671" spans="1:6" x14ac:dyDescent="0.3">
      <c r="A671" s="2">
        <v>45658</v>
      </c>
      <c r="B671" t="s">
        <v>60</v>
      </c>
      <c r="C671">
        <v>0</v>
      </c>
      <c r="D671" s="10">
        <v>900</v>
      </c>
      <c r="E671" s="10">
        <v>0</v>
      </c>
      <c r="F671" t="s">
        <v>76</v>
      </c>
    </row>
    <row r="672" spans="1:6" x14ac:dyDescent="0.3">
      <c r="A672" s="2">
        <v>45689</v>
      </c>
      <c r="B672" t="s">
        <v>60</v>
      </c>
      <c r="C672">
        <v>0</v>
      </c>
      <c r="D672" s="10">
        <v>900</v>
      </c>
      <c r="E672" s="10">
        <v>0</v>
      </c>
      <c r="F672" t="s">
        <v>76</v>
      </c>
    </row>
    <row r="673" spans="1:6" x14ac:dyDescent="0.3">
      <c r="A673" s="2">
        <v>45717</v>
      </c>
      <c r="B673" t="s">
        <v>60</v>
      </c>
      <c r="C673">
        <v>0</v>
      </c>
      <c r="D673" s="10">
        <v>900</v>
      </c>
      <c r="E673" s="10">
        <v>0</v>
      </c>
      <c r="F673" t="s">
        <v>76</v>
      </c>
    </row>
    <row r="674" spans="1:6" x14ac:dyDescent="0.3">
      <c r="A674" s="2">
        <v>45383</v>
      </c>
      <c r="B674" t="s">
        <v>61</v>
      </c>
      <c r="C674">
        <v>0</v>
      </c>
      <c r="D674" s="10">
        <v>300</v>
      </c>
      <c r="E674" s="10">
        <v>0</v>
      </c>
      <c r="F674" t="s">
        <v>76</v>
      </c>
    </row>
    <row r="675" spans="1:6" x14ac:dyDescent="0.3">
      <c r="A675" s="2">
        <v>45413</v>
      </c>
      <c r="B675" t="s">
        <v>61</v>
      </c>
      <c r="C675">
        <v>0</v>
      </c>
      <c r="D675" s="10">
        <v>300</v>
      </c>
      <c r="E675" s="10">
        <v>0</v>
      </c>
      <c r="F675" t="s">
        <v>76</v>
      </c>
    </row>
    <row r="676" spans="1:6" x14ac:dyDescent="0.3">
      <c r="A676" s="2">
        <v>45444</v>
      </c>
      <c r="B676" t="s">
        <v>61</v>
      </c>
      <c r="C676">
        <v>0</v>
      </c>
      <c r="D676" s="10">
        <v>300</v>
      </c>
      <c r="E676" s="10">
        <v>0</v>
      </c>
      <c r="F676" t="s">
        <v>76</v>
      </c>
    </row>
    <row r="677" spans="1:6" x14ac:dyDescent="0.3">
      <c r="A677" s="2">
        <v>45474</v>
      </c>
      <c r="B677" t="s">
        <v>61</v>
      </c>
      <c r="C677">
        <v>100</v>
      </c>
      <c r="D677" s="10">
        <v>410</v>
      </c>
      <c r="E677" s="10">
        <v>41000</v>
      </c>
      <c r="F677" t="s">
        <v>76</v>
      </c>
    </row>
    <row r="678" spans="1:6" x14ac:dyDescent="0.3">
      <c r="A678" s="2">
        <v>45505</v>
      </c>
      <c r="B678" t="s">
        <v>61</v>
      </c>
      <c r="C678">
        <v>0</v>
      </c>
      <c r="D678" s="10">
        <v>410</v>
      </c>
      <c r="E678" s="10">
        <v>0</v>
      </c>
      <c r="F678" t="s">
        <v>76</v>
      </c>
    </row>
    <row r="679" spans="1:6" x14ac:dyDescent="0.3">
      <c r="A679" s="2">
        <v>45536</v>
      </c>
      <c r="B679" t="s">
        <v>61</v>
      </c>
      <c r="C679">
        <v>0</v>
      </c>
      <c r="D679" s="10">
        <v>410</v>
      </c>
      <c r="E679" s="10">
        <v>0</v>
      </c>
      <c r="F679" t="s">
        <v>76</v>
      </c>
    </row>
    <row r="680" spans="1:6" x14ac:dyDescent="0.3">
      <c r="A680" s="2">
        <v>45566</v>
      </c>
      <c r="B680" t="s">
        <v>61</v>
      </c>
      <c r="C680">
        <v>-4</v>
      </c>
      <c r="D680" s="10">
        <v>355.95</v>
      </c>
      <c r="E680" s="10">
        <v>-1423.8</v>
      </c>
      <c r="F680" t="s">
        <v>76</v>
      </c>
    </row>
    <row r="681" spans="1:6" x14ac:dyDescent="0.3">
      <c r="A681" s="2">
        <v>45597</v>
      </c>
      <c r="B681" t="s">
        <v>61</v>
      </c>
      <c r="C681">
        <v>0</v>
      </c>
      <c r="D681" s="10">
        <v>355.95</v>
      </c>
      <c r="E681" s="10">
        <v>0</v>
      </c>
      <c r="F681" t="s">
        <v>76</v>
      </c>
    </row>
    <row r="682" spans="1:6" x14ac:dyDescent="0.3">
      <c r="A682" s="2">
        <v>45627</v>
      </c>
      <c r="B682" t="s">
        <v>61</v>
      </c>
      <c r="C682">
        <v>0</v>
      </c>
      <c r="D682" s="10">
        <v>355.95</v>
      </c>
      <c r="E682" s="10">
        <v>0</v>
      </c>
      <c r="F682" t="s">
        <v>76</v>
      </c>
    </row>
    <row r="683" spans="1:6" x14ac:dyDescent="0.3">
      <c r="A683" s="2">
        <v>45658</v>
      </c>
      <c r="B683" t="s">
        <v>61</v>
      </c>
      <c r="C683">
        <v>0</v>
      </c>
      <c r="D683" s="10">
        <v>355.95</v>
      </c>
      <c r="E683" s="10">
        <v>0</v>
      </c>
      <c r="F683" t="s">
        <v>76</v>
      </c>
    </row>
    <row r="684" spans="1:6" x14ac:dyDescent="0.3">
      <c r="A684" s="2">
        <v>45689</v>
      </c>
      <c r="B684" t="s">
        <v>61</v>
      </c>
      <c r="C684">
        <v>130</v>
      </c>
      <c r="D684" s="10">
        <v>350.38461538461542</v>
      </c>
      <c r="E684" s="10">
        <v>45550</v>
      </c>
      <c r="F684" t="s">
        <v>76</v>
      </c>
    </row>
    <row r="685" spans="1:6" x14ac:dyDescent="0.3">
      <c r="A685" s="2">
        <v>45717</v>
      </c>
      <c r="B685" t="s">
        <v>61</v>
      </c>
      <c r="C685">
        <v>0</v>
      </c>
      <c r="D685" s="10">
        <v>350.38461538461542</v>
      </c>
      <c r="E685" s="10">
        <v>0</v>
      </c>
      <c r="F685" t="s">
        <v>76</v>
      </c>
    </row>
    <row r="686" spans="1:6" x14ac:dyDescent="0.3">
      <c r="A686" s="2">
        <v>45383</v>
      </c>
      <c r="B686" t="s">
        <v>62</v>
      </c>
      <c r="C686">
        <v>100</v>
      </c>
      <c r="D686" s="10">
        <v>514.5</v>
      </c>
      <c r="E686" s="10">
        <v>51450</v>
      </c>
      <c r="F686" t="s">
        <v>76</v>
      </c>
    </row>
    <row r="687" spans="1:6" x14ac:dyDescent="0.3">
      <c r="A687" s="2">
        <v>45413</v>
      </c>
      <c r="B687" t="s">
        <v>62</v>
      </c>
      <c r="C687">
        <v>0</v>
      </c>
      <c r="D687" s="10">
        <v>514.5</v>
      </c>
      <c r="E687" s="10">
        <v>0</v>
      </c>
      <c r="F687" t="s">
        <v>76</v>
      </c>
    </row>
    <row r="688" spans="1:6" x14ac:dyDescent="0.3">
      <c r="A688" s="2">
        <v>45444</v>
      </c>
      <c r="B688" t="s">
        <v>62</v>
      </c>
      <c r="C688">
        <v>50</v>
      </c>
      <c r="D688" s="10">
        <v>514.5</v>
      </c>
      <c r="E688" s="10">
        <v>25725</v>
      </c>
      <c r="F688" t="s">
        <v>76</v>
      </c>
    </row>
    <row r="689" spans="1:6" x14ac:dyDescent="0.3">
      <c r="A689" s="2">
        <v>45474</v>
      </c>
      <c r="B689" t="s">
        <v>62</v>
      </c>
      <c r="C689">
        <v>0</v>
      </c>
      <c r="D689" s="10">
        <v>514.5</v>
      </c>
      <c r="E689" s="10">
        <v>0</v>
      </c>
      <c r="F689" t="s">
        <v>76</v>
      </c>
    </row>
    <row r="690" spans="1:6" x14ac:dyDescent="0.3">
      <c r="A690" s="2">
        <v>45505</v>
      </c>
      <c r="B690" t="s">
        <v>62</v>
      </c>
      <c r="C690">
        <v>0</v>
      </c>
      <c r="D690" s="10">
        <v>514.5</v>
      </c>
      <c r="E690" s="10">
        <v>0</v>
      </c>
      <c r="F690" t="s">
        <v>76</v>
      </c>
    </row>
    <row r="691" spans="1:6" x14ac:dyDescent="0.3">
      <c r="A691" s="2">
        <v>45536</v>
      </c>
      <c r="B691" t="s">
        <v>62</v>
      </c>
      <c r="C691">
        <v>0</v>
      </c>
      <c r="D691" s="10">
        <v>514.5</v>
      </c>
      <c r="E691" s="10">
        <v>0</v>
      </c>
      <c r="F691" t="s">
        <v>76</v>
      </c>
    </row>
    <row r="692" spans="1:6" x14ac:dyDescent="0.3">
      <c r="A692" s="2">
        <v>45566</v>
      </c>
      <c r="B692" t="s">
        <v>62</v>
      </c>
      <c r="C692">
        <v>0</v>
      </c>
      <c r="D692" s="10">
        <v>514.5</v>
      </c>
      <c r="E692" s="10">
        <v>0</v>
      </c>
      <c r="F692" t="s">
        <v>76</v>
      </c>
    </row>
    <row r="693" spans="1:6" x14ac:dyDescent="0.3">
      <c r="A693" s="2">
        <v>45597</v>
      </c>
      <c r="B693" t="s">
        <v>62</v>
      </c>
      <c r="C693">
        <v>0</v>
      </c>
      <c r="D693" s="10">
        <v>514.5</v>
      </c>
      <c r="E693" s="10">
        <v>0</v>
      </c>
      <c r="F693" t="s">
        <v>76</v>
      </c>
    </row>
    <row r="694" spans="1:6" x14ac:dyDescent="0.3">
      <c r="A694" s="2">
        <v>45627</v>
      </c>
      <c r="B694" t="s">
        <v>62</v>
      </c>
      <c r="C694">
        <v>0</v>
      </c>
      <c r="D694" s="10">
        <v>514.5</v>
      </c>
      <c r="E694" s="10">
        <v>0</v>
      </c>
      <c r="F694" t="s">
        <v>76</v>
      </c>
    </row>
    <row r="695" spans="1:6" x14ac:dyDescent="0.3">
      <c r="A695" s="2">
        <v>45658</v>
      </c>
      <c r="B695" t="s">
        <v>62</v>
      </c>
      <c r="C695">
        <v>0</v>
      </c>
      <c r="D695" s="10">
        <v>514.5</v>
      </c>
      <c r="E695" s="10">
        <v>0</v>
      </c>
      <c r="F695" t="s">
        <v>76</v>
      </c>
    </row>
    <row r="696" spans="1:6" x14ac:dyDescent="0.3">
      <c r="A696" s="2">
        <v>45689</v>
      </c>
      <c r="B696" t="s">
        <v>62</v>
      </c>
      <c r="C696">
        <v>0</v>
      </c>
      <c r="D696" s="10">
        <v>514.5</v>
      </c>
      <c r="E696" s="10">
        <v>0</v>
      </c>
      <c r="F696" t="s">
        <v>76</v>
      </c>
    </row>
    <row r="697" spans="1:6" x14ac:dyDescent="0.3">
      <c r="A697" s="2">
        <v>45717</v>
      </c>
      <c r="B697" t="s">
        <v>62</v>
      </c>
      <c r="C697">
        <v>0</v>
      </c>
      <c r="D697" s="10">
        <v>514.5</v>
      </c>
      <c r="E697" s="10">
        <v>0</v>
      </c>
      <c r="F697" t="s">
        <v>76</v>
      </c>
    </row>
  </sheetData>
  <autoFilter ref="A1:E697" xr:uid="{DA6014A2-143B-4BD0-AB5A-0395EBBBE44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E1E1D-D674-49A0-BC0C-36C75F199132}">
  <dimension ref="A1:B59"/>
  <sheetViews>
    <sheetView workbookViewId="0">
      <selection sqref="A1:B1"/>
    </sheetView>
  </sheetViews>
  <sheetFormatPr defaultRowHeight="14.4" x14ac:dyDescent="0.3"/>
  <cols>
    <col min="1" max="1" width="19.109375" bestFit="1" customWidth="1"/>
    <col min="2" max="2" width="11.77734375" bestFit="1" customWidth="1"/>
  </cols>
  <sheetData>
    <row r="1" spans="1:2" x14ac:dyDescent="0.3">
      <c r="A1" s="6" t="s">
        <v>77</v>
      </c>
      <c r="B1" s="6" t="s">
        <v>74</v>
      </c>
    </row>
    <row r="2" spans="1:2" x14ac:dyDescent="0.3">
      <c r="A2" t="s">
        <v>6</v>
      </c>
      <c r="B2" t="s">
        <v>76</v>
      </c>
    </row>
    <row r="3" spans="1:2" x14ac:dyDescent="0.3">
      <c r="A3" t="s">
        <v>7</v>
      </c>
      <c r="B3" t="s">
        <v>76</v>
      </c>
    </row>
    <row r="4" spans="1:2" x14ac:dyDescent="0.3">
      <c r="A4" t="s">
        <v>8</v>
      </c>
      <c r="B4" t="s">
        <v>76</v>
      </c>
    </row>
    <row r="5" spans="1:2" x14ac:dyDescent="0.3">
      <c r="A5" t="s">
        <v>11</v>
      </c>
      <c r="B5" t="s">
        <v>76</v>
      </c>
    </row>
    <row r="6" spans="1:2" x14ac:dyDescent="0.3">
      <c r="A6" t="s">
        <v>12</v>
      </c>
      <c r="B6" t="s">
        <v>76</v>
      </c>
    </row>
    <row r="7" spans="1:2" x14ac:dyDescent="0.3">
      <c r="A7" t="s">
        <v>13</v>
      </c>
      <c r="B7" t="s">
        <v>76</v>
      </c>
    </row>
    <row r="8" spans="1:2" x14ac:dyDescent="0.3">
      <c r="A8" t="s">
        <v>14</v>
      </c>
      <c r="B8" t="s">
        <v>76</v>
      </c>
    </row>
    <row r="9" spans="1:2" x14ac:dyDescent="0.3">
      <c r="A9" t="s">
        <v>15</v>
      </c>
      <c r="B9" t="s">
        <v>76</v>
      </c>
    </row>
    <row r="10" spans="1:2" x14ac:dyDescent="0.3">
      <c r="A10" t="s">
        <v>16</v>
      </c>
      <c r="B10" t="s">
        <v>76</v>
      </c>
    </row>
    <row r="11" spans="1:2" x14ac:dyDescent="0.3">
      <c r="A11" t="s">
        <v>17</v>
      </c>
      <c r="B11" t="s">
        <v>76</v>
      </c>
    </row>
    <row r="12" spans="1:2" x14ac:dyDescent="0.3">
      <c r="A12" t="s">
        <v>19</v>
      </c>
      <c r="B12" t="s">
        <v>76</v>
      </c>
    </row>
    <row r="13" spans="1:2" x14ac:dyDescent="0.3">
      <c r="A13" t="s">
        <v>21</v>
      </c>
      <c r="B13" t="s">
        <v>76</v>
      </c>
    </row>
    <row r="14" spans="1:2" x14ac:dyDescent="0.3">
      <c r="A14" t="s">
        <v>22</v>
      </c>
      <c r="B14" t="s">
        <v>76</v>
      </c>
    </row>
    <row r="15" spans="1:2" x14ac:dyDescent="0.3">
      <c r="A15" t="s">
        <v>23</v>
      </c>
      <c r="B15" t="s">
        <v>76</v>
      </c>
    </row>
    <row r="16" spans="1:2" x14ac:dyDescent="0.3">
      <c r="A16" t="s">
        <v>24</v>
      </c>
      <c r="B16" t="s">
        <v>76</v>
      </c>
    </row>
    <row r="17" spans="1:2" x14ac:dyDescent="0.3">
      <c r="A17" t="s">
        <v>26</v>
      </c>
      <c r="B17" t="s">
        <v>76</v>
      </c>
    </row>
    <row r="18" spans="1:2" x14ac:dyDescent="0.3">
      <c r="A18" t="s">
        <v>27</v>
      </c>
      <c r="B18" t="s">
        <v>76</v>
      </c>
    </row>
    <row r="19" spans="1:2" x14ac:dyDescent="0.3">
      <c r="A19" t="s">
        <v>28</v>
      </c>
      <c r="B19" t="s">
        <v>76</v>
      </c>
    </row>
    <row r="20" spans="1:2" x14ac:dyDescent="0.3">
      <c r="A20" t="s">
        <v>29</v>
      </c>
      <c r="B20" t="s">
        <v>76</v>
      </c>
    </row>
    <row r="21" spans="1:2" x14ac:dyDescent="0.3">
      <c r="A21" t="s">
        <v>30</v>
      </c>
      <c r="B21" t="s">
        <v>76</v>
      </c>
    </row>
    <row r="22" spans="1:2" x14ac:dyDescent="0.3">
      <c r="A22" t="s">
        <v>32</v>
      </c>
      <c r="B22" t="s">
        <v>76</v>
      </c>
    </row>
    <row r="23" spans="1:2" x14ac:dyDescent="0.3">
      <c r="A23" t="s">
        <v>33</v>
      </c>
      <c r="B23" t="s">
        <v>76</v>
      </c>
    </row>
    <row r="24" spans="1:2" x14ac:dyDescent="0.3">
      <c r="A24" t="s">
        <v>34</v>
      </c>
      <c r="B24" t="s">
        <v>76</v>
      </c>
    </row>
    <row r="25" spans="1:2" x14ac:dyDescent="0.3">
      <c r="A25" t="s">
        <v>35</v>
      </c>
      <c r="B25" t="s">
        <v>76</v>
      </c>
    </row>
    <row r="26" spans="1:2" x14ac:dyDescent="0.3">
      <c r="A26" t="s">
        <v>40</v>
      </c>
      <c r="B26" t="s">
        <v>76</v>
      </c>
    </row>
    <row r="27" spans="1:2" x14ac:dyDescent="0.3">
      <c r="A27" t="s">
        <v>42</v>
      </c>
      <c r="B27" t="s">
        <v>76</v>
      </c>
    </row>
    <row r="28" spans="1:2" x14ac:dyDescent="0.3">
      <c r="A28" t="s">
        <v>43</v>
      </c>
      <c r="B28" t="s">
        <v>76</v>
      </c>
    </row>
    <row r="29" spans="1:2" x14ac:dyDescent="0.3">
      <c r="A29" t="s">
        <v>44</v>
      </c>
      <c r="B29" t="s">
        <v>76</v>
      </c>
    </row>
    <row r="30" spans="1:2" x14ac:dyDescent="0.3">
      <c r="A30" t="s">
        <v>45</v>
      </c>
      <c r="B30" t="s">
        <v>76</v>
      </c>
    </row>
    <row r="31" spans="1:2" x14ac:dyDescent="0.3">
      <c r="A31" t="s">
        <v>46</v>
      </c>
      <c r="B31" t="s">
        <v>76</v>
      </c>
    </row>
    <row r="32" spans="1:2" x14ac:dyDescent="0.3">
      <c r="A32" t="s">
        <v>47</v>
      </c>
      <c r="B32" t="s">
        <v>76</v>
      </c>
    </row>
    <row r="33" spans="1:2" x14ac:dyDescent="0.3">
      <c r="A33" t="s">
        <v>48</v>
      </c>
      <c r="B33" t="s">
        <v>76</v>
      </c>
    </row>
    <row r="34" spans="1:2" x14ac:dyDescent="0.3">
      <c r="A34" t="s">
        <v>49</v>
      </c>
      <c r="B34" t="s">
        <v>76</v>
      </c>
    </row>
    <row r="35" spans="1:2" x14ac:dyDescent="0.3">
      <c r="A35" t="s">
        <v>50</v>
      </c>
      <c r="B35" t="s">
        <v>76</v>
      </c>
    </row>
    <row r="36" spans="1:2" x14ac:dyDescent="0.3">
      <c r="A36" t="s">
        <v>51</v>
      </c>
      <c r="B36" t="s">
        <v>76</v>
      </c>
    </row>
    <row r="37" spans="1:2" x14ac:dyDescent="0.3">
      <c r="A37" t="s">
        <v>53</v>
      </c>
      <c r="B37" t="s">
        <v>76</v>
      </c>
    </row>
    <row r="38" spans="1:2" x14ac:dyDescent="0.3">
      <c r="A38" t="s">
        <v>54</v>
      </c>
      <c r="B38" t="s">
        <v>76</v>
      </c>
    </row>
    <row r="39" spans="1:2" x14ac:dyDescent="0.3">
      <c r="A39" t="s">
        <v>55</v>
      </c>
      <c r="B39" t="s">
        <v>76</v>
      </c>
    </row>
    <row r="40" spans="1:2" x14ac:dyDescent="0.3">
      <c r="A40" t="s">
        <v>56</v>
      </c>
      <c r="B40" t="s">
        <v>76</v>
      </c>
    </row>
    <row r="41" spans="1:2" x14ac:dyDescent="0.3">
      <c r="A41" t="s">
        <v>57</v>
      </c>
      <c r="B41" t="s">
        <v>76</v>
      </c>
    </row>
    <row r="42" spans="1:2" x14ac:dyDescent="0.3">
      <c r="A42" t="s">
        <v>58</v>
      </c>
      <c r="B42" t="s">
        <v>76</v>
      </c>
    </row>
    <row r="43" spans="1:2" x14ac:dyDescent="0.3">
      <c r="A43" t="s">
        <v>59</v>
      </c>
      <c r="B43" t="s">
        <v>76</v>
      </c>
    </row>
    <row r="44" spans="1:2" x14ac:dyDescent="0.3">
      <c r="A44" t="s">
        <v>60</v>
      </c>
      <c r="B44" t="s">
        <v>76</v>
      </c>
    </row>
    <row r="45" spans="1:2" x14ac:dyDescent="0.3">
      <c r="A45" t="s">
        <v>61</v>
      </c>
      <c r="B45" t="s">
        <v>76</v>
      </c>
    </row>
    <row r="46" spans="1:2" x14ac:dyDescent="0.3">
      <c r="A46" t="s">
        <v>62</v>
      </c>
      <c r="B46" t="s">
        <v>76</v>
      </c>
    </row>
    <row r="47" spans="1:2" x14ac:dyDescent="0.3">
      <c r="A47" t="s">
        <v>5</v>
      </c>
      <c r="B47" t="s">
        <v>75</v>
      </c>
    </row>
    <row r="48" spans="1:2" x14ac:dyDescent="0.3">
      <c r="A48" t="s">
        <v>9</v>
      </c>
      <c r="B48" t="s">
        <v>75</v>
      </c>
    </row>
    <row r="49" spans="1:2" x14ac:dyDescent="0.3">
      <c r="A49" t="s">
        <v>10</v>
      </c>
      <c r="B49" t="s">
        <v>75</v>
      </c>
    </row>
    <row r="50" spans="1:2" x14ac:dyDescent="0.3">
      <c r="A50" t="s">
        <v>18</v>
      </c>
      <c r="B50" t="s">
        <v>75</v>
      </c>
    </row>
    <row r="51" spans="1:2" x14ac:dyDescent="0.3">
      <c r="A51" t="s">
        <v>20</v>
      </c>
      <c r="B51" t="s">
        <v>75</v>
      </c>
    </row>
    <row r="52" spans="1:2" x14ac:dyDescent="0.3">
      <c r="A52" t="s">
        <v>25</v>
      </c>
      <c r="B52" t="s">
        <v>75</v>
      </c>
    </row>
    <row r="53" spans="1:2" x14ac:dyDescent="0.3">
      <c r="A53" t="s">
        <v>31</v>
      </c>
      <c r="B53" t="s">
        <v>75</v>
      </c>
    </row>
    <row r="54" spans="1:2" x14ac:dyDescent="0.3">
      <c r="A54" t="s">
        <v>36</v>
      </c>
      <c r="B54" t="s">
        <v>75</v>
      </c>
    </row>
    <row r="55" spans="1:2" x14ac:dyDescent="0.3">
      <c r="A55" t="s">
        <v>37</v>
      </c>
      <c r="B55" t="s">
        <v>75</v>
      </c>
    </row>
    <row r="56" spans="1:2" x14ac:dyDescent="0.3">
      <c r="A56" t="s">
        <v>38</v>
      </c>
      <c r="B56" t="s">
        <v>75</v>
      </c>
    </row>
    <row r="57" spans="1:2" x14ac:dyDescent="0.3">
      <c r="A57" t="s">
        <v>39</v>
      </c>
      <c r="B57" t="s">
        <v>75</v>
      </c>
    </row>
    <row r="58" spans="1:2" x14ac:dyDescent="0.3">
      <c r="A58" t="s">
        <v>41</v>
      </c>
      <c r="B58" t="s">
        <v>75</v>
      </c>
    </row>
    <row r="59" spans="1:2" x14ac:dyDescent="0.3">
      <c r="A59" t="s">
        <v>52</v>
      </c>
      <c r="B59" t="s">
        <v>75</v>
      </c>
    </row>
  </sheetData>
  <sortState xmlns:xlrd2="http://schemas.microsoft.com/office/spreadsheetml/2017/richdata2" ref="A2:B697">
    <sortCondition ref="B2:B69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51B3-439E-4E2D-9576-6588106E3911}">
  <dimension ref="A3:E62"/>
  <sheetViews>
    <sheetView tabSelected="1" workbookViewId="0">
      <selection activeCell="A4" sqref="A4"/>
    </sheetView>
  </sheetViews>
  <sheetFormatPr defaultRowHeight="14.4" x14ac:dyDescent="0.3"/>
  <cols>
    <col min="1" max="1" width="19.109375" bestFit="1" customWidth="1"/>
    <col min="2" max="2" width="17.44140625" bestFit="1" customWidth="1"/>
    <col min="3" max="3" width="16.77734375" bestFit="1" customWidth="1"/>
    <col min="4" max="4" width="14.109375" bestFit="1" customWidth="1"/>
    <col min="5" max="5" width="13.77734375" bestFit="1" customWidth="1"/>
  </cols>
  <sheetData>
    <row r="3" spans="1:5" x14ac:dyDescent="0.3">
      <c r="A3" s="3" t="s">
        <v>1</v>
      </c>
      <c r="B3" t="s">
        <v>64</v>
      </c>
      <c r="C3" t="s">
        <v>65</v>
      </c>
      <c r="D3" t="s">
        <v>71</v>
      </c>
      <c r="E3" t="s">
        <v>70</v>
      </c>
    </row>
    <row r="4" spans="1:5" x14ac:dyDescent="0.3">
      <c r="A4" s="4" t="s">
        <v>18</v>
      </c>
      <c r="B4" s="5">
        <v>927.03929020620183</v>
      </c>
      <c r="C4" s="5">
        <v>197.70725001749733</v>
      </c>
      <c r="D4" s="5">
        <v>1410</v>
      </c>
      <c r="E4" s="5">
        <v>700.66</v>
      </c>
    </row>
    <row r="5" spans="1:5" x14ac:dyDescent="0.3">
      <c r="A5" s="4" t="s">
        <v>62</v>
      </c>
      <c r="B5" s="5">
        <v>514.5</v>
      </c>
      <c r="C5" s="5">
        <v>0</v>
      </c>
      <c r="D5" s="5">
        <v>514.5</v>
      </c>
      <c r="E5" s="5">
        <v>514.5</v>
      </c>
    </row>
    <row r="6" spans="1:5" x14ac:dyDescent="0.3">
      <c r="A6" s="4" t="s">
        <v>54</v>
      </c>
      <c r="B6" s="5">
        <v>481.97389860869697</v>
      </c>
      <c r="C6" s="5">
        <v>27.404079019160879</v>
      </c>
      <c r="D6" s="5">
        <v>514.5</v>
      </c>
      <c r="E6" s="5">
        <v>431.44557377049182</v>
      </c>
    </row>
    <row r="7" spans="1:5" x14ac:dyDescent="0.3">
      <c r="A7" s="4" t="s">
        <v>17</v>
      </c>
      <c r="B7" s="5">
        <v>3.4162194149453455</v>
      </c>
      <c r="C7" s="5">
        <v>1.1610878275387533</v>
      </c>
      <c r="D7" s="5">
        <v>7.0921052631578947</v>
      </c>
      <c r="E7" s="5">
        <v>3</v>
      </c>
    </row>
    <row r="8" spans="1:5" x14ac:dyDescent="0.3">
      <c r="A8" s="4" t="s">
        <v>33</v>
      </c>
      <c r="B8" s="5">
        <v>3.6143333333333341</v>
      </c>
      <c r="C8" s="5">
        <v>0.11452616480193935</v>
      </c>
      <c r="D8" s="5">
        <v>3.74</v>
      </c>
      <c r="E8" s="5">
        <v>3.51</v>
      </c>
    </row>
    <row r="9" spans="1:5" x14ac:dyDescent="0.3">
      <c r="A9" s="4" t="s">
        <v>53</v>
      </c>
      <c r="B9" s="5">
        <v>38.570694444444449</v>
      </c>
      <c r="C9" s="5">
        <v>28.383483446446704</v>
      </c>
      <c r="D9" s="5">
        <v>66.5</v>
      </c>
      <c r="E9" s="5">
        <v>7.4249999999999998</v>
      </c>
    </row>
    <row r="10" spans="1:5" x14ac:dyDescent="0.3">
      <c r="A10" s="4" t="s">
        <v>28</v>
      </c>
      <c r="B10" s="5">
        <v>117.40424242424244</v>
      </c>
      <c r="C10" s="5">
        <v>54.243571987179919</v>
      </c>
      <c r="D10" s="5">
        <v>143</v>
      </c>
      <c r="E10" s="5">
        <v>1.38</v>
      </c>
    </row>
    <row r="11" spans="1:5" x14ac:dyDescent="0.3">
      <c r="A11" s="4" t="s">
        <v>49</v>
      </c>
      <c r="B11" s="5">
        <v>29.584553333333336</v>
      </c>
      <c r="C11" s="5">
        <v>25.389690859893701</v>
      </c>
      <c r="D11" s="5">
        <v>63.95</v>
      </c>
      <c r="E11" s="5">
        <v>11.02732</v>
      </c>
    </row>
    <row r="12" spans="1:5" x14ac:dyDescent="0.3">
      <c r="A12" s="4" t="s">
        <v>31</v>
      </c>
      <c r="B12" s="5">
        <v>63.908333333333324</v>
      </c>
      <c r="C12" s="5">
        <v>3.0998704762779261</v>
      </c>
      <c r="D12" s="5">
        <v>67.42</v>
      </c>
      <c r="E12" s="5">
        <v>61.4</v>
      </c>
    </row>
    <row r="13" spans="1:5" x14ac:dyDescent="0.3">
      <c r="A13" s="4" t="s">
        <v>60</v>
      </c>
      <c r="B13" s="5">
        <v>881.25</v>
      </c>
      <c r="C13" s="5">
        <v>33.920026264998405</v>
      </c>
      <c r="D13" s="5">
        <v>900</v>
      </c>
      <c r="E13" s="5">
        <v>825</v>
      </c>
    </row>
    <row r="14" spans="1:5" x14ac:dyDescent="0.3">
      <c r="A14" s="4" t="s">
        <v>35</v>
      </c>
      <c r="B14" s="5">
        <v>11.900000000000004</v>
      </c>
      <c r="C14" s="5" t="e">
        <v>#NUM!</v>
      </c>
      <c r="D14" s="5">
        <v>11.9</v>
      </c>
      <c r="E14" s="5">
        <v>11.9</v>
      </c>
    </row>
    <row r="15" spans="1:5" x14ac:dyDescent="0.3">
      <c r="A15" s="4" t="s">
        <v>7</v>
      </c>
      <c r="B15" s="5">
        <v>12.647087393122648</v>
      </c>
      <c r="C15" s="5">
        <v>9.4265194980675732E-2</v>
      </c>
      <c r="D15" s="5">
        <v>12.722225877192979</v>
      </c>
      <c r="E15" s="5">
        <v>12.460693504190839</v>
      </c>
    </row>
    <row r="16" spans="1:5" x14ac:dyDescent="0.3">
      <c r="A16" s="4" t="s">
        <v>22</v>
      </c>
      <c r="B16" s="5">
        <v>21006</v>
      </c>
      <c r="C16" s="5">
        <v>360.57529789843545</v>
      </c>
      <c r="D16" s="5">
        <v>22000</v>
      </c>
      <c r="E16" s="5">
        <v>20536</v>
      </c>
    </row>
    <row r="17" spans="1:5" x14ac:dyDescent="0.3">
      <c r="A17" s="4" t="s">
        <v>24</v>
      </c>
      <c r="B17" s="5">
        <v>840.00187499999993</v>
      </c>
      <c r="C17" s="5">
        <v>125.33395394507373</v>
      </c>
      <c r="D17" s="5">
        <v>960</v>
      </c>
      <c r="E17" s="5">
        <v>720</v>
      </c>
    </row>
    <row r="18" spans="1:5" x14ac:dyDescent="0.3">
      <c r="A18" s="4" t="s">
        <v>50</v>
      </c>
      <c r="B18" s="5">
        <v>80.800000000000011</v>
      </c>
      <c r="C18" s="5">
        <v>47.397583367624414</v>
      </c>
      <c r="D18" s="5">
        <v>107</v>
      </c>
      <c r="E18" s="5">
        <v>2.2000000000000002</v>
      </c>
    </row>
    <row r="19" spans="1:5" x14ac:dyDescent="0.3">
      <c r="A19" s="4" t="s">
        <v>12</v>
      </c>
      <c r="B19" s="5">
        <v>68.550375000000017</v>
      </c>
      <c r="C19" s="5">
        <v>40.775178299105704</v>
      </c>
      <c r="D19" s="5">
        <v>93.754500000000007</v>
      </c>
      <c r="E19" s="5">
        <v>0.95</v>
      </c>
    </row>
    <row r="20" spans="1:5" x14ac:dyDescent="0.3">
      <c r="A20" s="4" t="s">
        <v>15</v>
      </c>
      <c r="B20" s="5">
        <v>83.537499999999994</v>
      </c>
      <c r="C20" s="5">
        <v>49.687021009698114</v>
      </c>
      <c r="D20" s="5">
        <v>113</v>
      </c>
      <c r="E20" s="5">
        <v>1.1499999999999999</v>
      </c>
    </row>
    <row r="21" spans="1:5" x14ac:dyDescent="0.3">
      <c r="A21" s="4" t="s">
        <v>19</v>
      </c>
      <c r="B21" s="5">
        <v>83.217156244023712</v>
      </c>
      <c r="C21" s="5">
        <v>24.30082567644433</v>
      </c>
      <c r="D21" s="5">
        <v>143.5</v>
      </c>
      <c r="E21" s="5">
        <v>64</v>
      </c>
    </row>
    <row r="22" spans="1:5" x14ac:dyDescent="0.3">
      <c r="A22" s="4" t="s">
        <v>38</v>
      </c>
      <c r="B22" s="5">
        <v>333.41383333333334</v>
      </c>
      <c r="C22" s="5">
        <v>3.661739026329772</v>
      </c>
      <c r="D22" s="5">
        <v>343.76600000000002</v>
      </c>
      <c r="E22" s="5">
        <v>327.2</v>
      </c>
    </row>
    <row r="23" spans="1:5" x14ac:dyDescent="0.3">
      <c r="A23" s="4" t="s">
        <v>59</v>
      </c>
      <c r="B23" s="5">
        <v>167.02500000000001</v>
      </c>
      <c r="C23" s="5">
        <v>2.6261361177764284</v>
      </c>
      <c r="D23" s="5">
        <v>170</v>
      </c>
      <c r="E23" s="5">
        <v>164.9</v>
      </c>
    </row>
    <row r="24" spans="1:5" x14ac:dyDescent="0.3">
      <c r="A24" s="4" t="s">
        <v>39</v>
      </c>
      <c r="B24" s="5">
        <v>188.61249999999998</v>
      </c>
      <c r="C24" s="5">
        <v>2.9505411676201203</v>
      </c>
      <c r="D24" s="5">
        <v>191</v>
      </c>
      <c r="E24" s="5">
        <v>185.27</v>
      </c>
    </row>
    <row r="25" spans="1:5" x14ac:dyDescent="0.3">
      <c r="A25" s="4" t="s">
        <v>37</v>
      </c>
      <c r="B25" s="5">
        <v>219.22499999999999</v>
      </c>
      <c r="C25" s="5">
        <v>3.4294248126269764</v>
      </c>
      <c r="D25" s="5">
        <v>222</v>
      </c>
      <c r="E25" s="5">
        <v>215.34</v>
      </c>
    </row>
    <row r="26" spans="1:5" x14ac:dyDescent="0.3">
      <c r="A26" s="4" t="s">
        <v>11</v>
      </c>
      <c r="B26" s="5">
        <v>2.5833916636936616</v>
      </c>
      <c r="C26" s="5">
        <v>0.93501260617448478</v>
      </c>
      <c r="D26" s="5">
        <v>3.7</v>
      </c>
      <c r="E26" s="5">
        <v>1.6964999999999999</v>
      </c>
    </row>
    <row r="27" spans="1:5" x14ac:dyDescent="0.3">
      <c r="A27" s="4" t="s">
        <v>8</v>
      </c>
      <c r="B27" s="5">
        <v>108.78489246048424</v>
      </c>
      <c r="C27" s="5">
        <v>20.94495926338389</v>
      </c>
      <c r="D27" s="5">
        <v>135.14814814814821</v>
      </c>
      <c r="E27" s="5">
        <v>84</v>
      </c>
    </row>
    <row r="28" spans="1:5" x14ac:dyDescent="0.3">
      <c r="A28" s="4" t="s">
        <v>40</v>
      </c>
      <c r="B28" s="5">
        <v>4259.6500000000005</v>
      </c>
      <c r="C28" s="5">
        <v>513.80777180151085</v>
      </c>
      <c r="D28" s="5">
        <v>4812.7</v>
      </c>
      <c r="E28" s="5">
        <v>3700</v>
      </c>
    </row>
    <row r="29" spans="1:5" x14ac:dyDescent="0.3">
      <c r="A29" s="4" t="s">
        <v>48</v>
      </c>
      <c r="B29" s="5">
        <v>2.5875000000000004</v>
      </c>
      <c r="C29" s="5">
        <v>0.29397356096331329</v>
      </c>
      <c r="D29" s="5">
        <v>2.75</v>
      </c>
      <c r="E29" s="5">
        <v>2.1</v>
      </c>
    </row>
    <row r="30" spans="1:5" x14ac:dyDescent="0.3">
      <c r="A30" s="4" t="s">
        <v>58</v>
      </c>
      <c r="B30" s="5">
        <v>38</v>
      </c>
      <c r="C30" s="5">
        <v>0</v>
      </c>
      <c r="D30" s="5">
        <v>38</v>
      </c>
      <c r="E30" s="5">
        <v>38</v>
      </c>
    </row>
    <row r="31" spans="1:5" x14ac:dyDescent="0.3">
      <c r="A31" s="4" t="s">
        <v>30</v>
      </c>
      <c r="B31" s="5">
        <v>400</v>
      </c>
      <c r="C31" s="5">
        <v>0</v>
      </c>
      <c r="D31" s="5">
        <v>400</v>
      </c>
      <c r="E31" s="5">
        <v>400</v>
      </c>
    </row>
    <row r="32" spans="1:5" x14ac:dyDescent="0.3">
      <c r="A32" s="4" t="s">
        <v>14</v>
      </c>
      <c r="B32" s="5">
        <v>133.13769429985399</v>
      </c>
      <c r="C32" s="5">
        <v>57.208202066804873</v>
      </c>
      <c r="D32" s="5">
        <v>254.47666666666669</v>
      </c>
      <c r="E32" s="5">
        <v>100.8976923076923</v>
      </c>
    </row>
    <row r="33" spans="1:5" x14ac:dyDescent="0.3">
      <c r="A33" s="4" t="s">
        <v>16</v>
      </c>
      <c r="B33" s="5">
        <v>5.7714000000000008</v>
      </c>
      <c r="C33" s="5">
        <v>0.61196165655284374</v>
      </c>
      <c r="D33" s="5">
        <v>6.6</v>
      </c>
      <c r="E33" s="5">
        <v>5.3571</v>
      </c>
    </row>
    <row r="34" spans="1:5" x14ac:dyDescent="0.3">
      <c r="A34" s="4" t="s">
        <v>55</v>
      </c>
      <c r="B34" s="5">
        <v>8.4676675454545443</v>
      </c>
      <c r="C34" s="5">
        <v>5.1551357423026391E-2</v>
      </c>
      <c r="D34" s="5">
        <v>8.4825499999999998</v>
      </c>
      <c r="E34" s="5">
        <v>8.3039699999999996</v>
      </c>
    </row>
    <row r="35" spans="1:5" x14ac:dyDescent="0.3">
      <c r="A35" s="4" t="s">
        <v>26</v>
      </c>
      <c r="B35" s="5">
        <v>5.3523416666666677</v>
      </c>
      <c r="C35" s="5">
        <v>1.6483350185104939E-2</v>
      </c>
      <c r="D35" s="5">
        <v>5.3571</v>
      </c>
      <c r="E35" s="5">
        <v>5.3</v>
      </c>
    </row>
    <row r="36" spans="1:5" x14ac:dyDescent="0.3">
      <c r="A36" s="4" t="s">
        <v>61</v>
      </c>
      <c r="B36" s="5">
        <v>354.54743589743583</v>
      </c>
      <c r="C36" s="5">
        <v>40.669125858560299</v>
      </c>
      <c r="D36" s="5">
        <v>410</v>
      </c>
      <c r="E36" s="5">
        <v>300</v>
      </c>
    </row>
    <row r="37" spans="1:5" x14ac:dyDescent="0.3">
      <c r="A37" s="4" t="s">
        <v>42</v>
      </c>
      <c r="B37" s="5">
        <v>684.43296366614538</v>
      </c>
      <c r="C37" s="5">
        <v>44.66060276307838</v>
      </c>
      <c r="D37" s="5">
        <v>759.43</v>
      </c>
      <c r="E37" s="5">
        <v>611.32561983471066</v>
      </c>
    </row>
    <row r="38" spans="1:5" x14ac:dyDescent="0.3">
      <c r="A38" s="4" t="s">
        <v>52</v>
      </c>
      <c r="B38" s="5">
        <v>52.20000000000001</v>
      </c>
      <c r="C38" s="5" t="e">
        <v>#NUM!</v>
      </c>
      <c r="D38" s="5">
        <v>52.2</v>
      </c>
      <c r="E38" s="5">
        <v>52.2</v>
      </c>
    </row>
    <row r="39" spans="1:5" x14ac:dyDescent="0.3">
      <c r="A39" s="4" t="s">
        <v>29</v>
      </c>
      <c r="B39" s="5">
        <v>22.34708333333333</v>
      </c>
      <c r="C39" s="5">
        <v>0.92944621423278484</v>
      </c>
      <c r="D39" s="5">
        <v>23.4</v>
      </c>
      <c r="E39" s="5">
        <v>21.594999999999999</v>
      </c>
    </row>
    <row r="40" spans="1:5" x14ac:dyDescent="0.3">
      <c r="A40" s="4" t="s">
        <v>21</v>
      </c>
      <c r="B40" s="5">
        <v>1058.5</v>
      </c>
      <c r="C40" s="5">
        <v>3.5032452487268535</v>
      </c>
      <c r="D40" s="5">
        <v>1060</v>
      </c>
      <c r="E40" s="5">
        <v>1051</v>
      </c>
    </row>
    <row r="41" spans="1:5" x14ac:dyDescent="0.3">
      <c r="A41" s="4" t="s">
        <v>56</v>
      </c>
      <c r="B41" s="5">
        <v>27827.498333333333</v>
      </c>
      <c r="C41" s="5">
        <v>3888.6149987304761</v>
      </c>
      <c r="D41" s="5">
        <v>33928.57</v>
      </c>
      <c r="E41" s="5">
        <v>23215</v>
      </c>
    </row>
    <row r="42" spans="1:5" x14ac:dyDescent="0.3">
      <c r="A42" s="4" t="s">
        <v>51</v>
      </c>
      <c r="B42" s="5">
        <v>709.22833333333335</v>
      </c>
      <c r="C42" s="5">
        <v>8.6774470830276691</v>
      </c>
      <c r="D42" s="5">
        <v>725</v>
      </c>
      <c r="E42" s="5">
        <v>700</v>
      </c>
    </row>
    <row r="43" spans="1:5" x14ac:dyDescent="0.3">
      <c r="A43" s="4" t="s">
        <v>57</v>
      </c>
      <c r="B43" s="5">
        <v>32.25</v>
      </c>
      <c r="C43" s="5">
        <v>0.8660254037844386</v>
      </c>
      <c r="D43" s="5">
        <v>35</v>
      </c>
      <c r="E43" s="5">
        <v>32</v>
      </c>
    </row>
    <row r="44" spans="1:5" x14ac:dyDescent="0.3">
      <c r="A44" s="4" t="s">
        <v>44</v>
      </c>
      <c r="B44" s="5">
        <v>4.1550000000000002</v>
      </c>
      <c r="C44" s="5">
        <v>0.36200200903510699</v>
      </c>
      <c r="D44" s="5">
        <v>4.93</v>
      </c>
      <c r="E44" s="5">
        <v>4</v>
      </c>
    </row>
    <row r="45" spans="1:5" x14ac:dyDescent="0.3">
      <c r="A45" s="4" t="s">
        <v>43</v>
      </c>
      <c r="B45" s="5">
        <v>6.9774414814814811</v>
      </c>
      <c r="C45" s="5">
        <v>0.2933761134298008</v>
      </c>
      <c r="D45" s="5">
        <v>7.5896488888888882</v>
      </c>
      <c r="E45" s="5">
        <v>6.75</v>
      </c>
    </row>
    <row r="46" spans="1:5" x14ac:dyDescent="0.3">
      <c r="A46" s="4" t="s">
        <v>36</v>
      </c>
      <c r="B46" s="5">
        <v>14.190400000000002</v>
      </c>
      <c r="C46" s="5">
        <v>0</v>
      </c>
      <c r="D46" s="5">
        <v>14.1904</v>
      </c>
      <c r="E46" s="5">
        <v>14.1904</v>
      </c>
    </row>
    <row r="47" spans="1:5" x14ac:dyDescent="0.3">
      <c r="A47" s="4" t="s">
        <v>10</v>
      </c>
      <c r="B47" s="5">
        <v>22.579106880566453</v>
      </c>
      <c r="C47" s="5">
        <v>0.56784458950633587</v>
      </c>
      <c r="D47" s="5">
        <v>23.55388235294118</v>
      </c>
      <c r="E47" s="5">
        <v>22.04</v>
      </c>
    </row>
    <row r="48" spans="1:5" x14ac:dyDescent="0.3">
      <c r="A48" s="4" t="s">
        <v>5</v>
      </c>
      <c r="B48" s="5">
        <v>9.2591293305728097</v>
      </c>
      <c r="C48" s="5">
        <v>0.12228871709223649</v>
      </c>
      <c r="D48" s="5">
        <v>9.4751043478260861</v>
      </c>
      <c r="E48" s="5">
        <v>9.1642485714285726</v>
      </c>
    </row>
    <row r="49" spans="1:5" x14ac:dyDescent="0.3">
      <c r="A49" s="4" t="s">
        <v>41</v>
      </c>
      <c r="B49" s="5">
        <v>41.630398015873013</v>
      </c>
      <c r="C49" s="5">
        <v>1.0835474048939094E-5</v>
      </c>
      <c r="D49" s="5">
        <v>41.630416666666662</v>
      </c>
      <c r="E49" s="5">
        <v>41.630388888888888</v>
      </c>
    </row>
    <row r="50" spans="1:5" x14ac:dyDescent="0.3">
      <c r="A50" s="4" t="s">
        <v>6</v>
      </c>
      <c r="B50" s="5">
        <v>42.725150238021037</v>
      </c>
      <c r="C50" s="5">
        <v>0.72527388968784212</v>
      </c>
      <c r="D50" s="5">
        <v>44</v>
      </c>
      <c r="E50" s="5">
        <v>41.58</v>
      </c>
    </row>
    <row r="51" spans="1:5" x14ac:dyDescent="0.3">
      <c r="A51" s="4" t="s">
        <v>25</v>
      </c>
      <c r="B51" s="5">
        <v>132.84110294117647</v>
      </c>
      <c r="C51" s="5">
        <v>7.4396433965588908</v>
      </c>
      <c r="D51" s="5">
        <v>147</v>
      </c>
      <c r="E51" s="5">
        <v>127.575</v>
      </c>
    </row>
    <row r="52" spans="1:5" x14ac:dyDescent="0.3">
      <c r="A52" s="4" t="s">
        <v>46</v>
      </c>
      <c r="B52" s="5">
        <v>127.16509321266972</v>
      </c>
      <c r="C52" s="5">
        <v>68.696653078411998</v>
      </c>
      <c r="D52" s="5">
        <v>179</v>
      </c>
      <c r="E52" s="5">
        <v>13.824784615384621</v>
      </c>
    </row>
    <row r="53" spans="1:5" x14ac:dyDescent="0.3">
      <c r="A53" s="4" t="s">
        <v>34</v>
      </c>
      <c r="B53" s="5">
        <v>3.75</v>
      </c>
      <c r="C53" s="5">
        <v>0</v>
      </c>
      <c r="D53" s="5">
        <v>3.75</v>
      </c>
      <c r="E53" s="5">
        <v>3.75</v>
      </c>
    </row>
    <row r="54" spans="1:5" x14ac:dyDescent="0.3">
      <c r="A54" s="4" t="s">
        <v>47</v>
      </c>
      <c r="B54" s="5">
        <v>4.5</v>
      </c>
      <c r="C54" s="5">
        <v>0</v>
      </c>
      <c r="D54" s="5">
        <v>4.5</v>
      </c>
      <c r="E54" s="5">
        <v>4.5</v>
      </c>
    </row>
    <row r="55" spans="1:5" x14ac:dyDescent="0.3">
      <c r="A55" s="4" t="s">
        <v>13</v>
      </c>
      <c r="B55" s="5">
        <v>12.070000000000002</v>
      </c>
      <c r="C55" s="5">
        <v>0.25110664159772622</v>
      </c>
      <c r="D55" s="5">
        <v>12.41</v>
      </c>
      <c r="E55" s="5">
        <v>11.9</v>
      </c>
    </row>
    <row r="56" spans="1:5" x14ac:dyDescent="0.3">
      <c r="A56" s="4" t="s">
        <v>20</v>
      </c>
      <c r="B56" s="5">
        <v>13.622392928286851</v>
      </c>
      <c r="C56" s="5">
        <v>0.66697984152796674</v>
      </c>
      <c r="D56" s="5">
        <v>14.61125</v>
      </c>
      <c r="E56" s="5">
        <v>12.04621513944223</v>
      </c>
    </row>
    <row r="57" spans="1:5" x14ac:dyDescent="0.3">
      <c r="A57" s="4" t="s">
        <v>9</v>
      </c>
      <c r="B57" s="5">
        <v>13.582179456989245</v>
      </c>
      <c r="C57" s="5">
        <v>0.92680187272636172</v>
      </c>
      <c r="D57" s="5">
        <v>14.82096774193548</v>
      </c>
      <c r="E57" s="5">
        <v>11.144218</v>
      </c>
    </row>
    <row r="58" spans="1:5" x14ac:dyDescent="0.3">
      <c r="A58" s="4" t="s">
        <v>23</v>
      </c>
      <c r="B58" s="5">
        <v>80.5</v>
      </c>
      <c r="C58" s="5">
        <v>1.7320508075688772</v>
      </c>
      <c r="D58" s="5">
        <v>81</v>
      </c>
      <c r="E58" s="5">
        <v>75</v>
      </c>
    </row>
    <row r="59" spans="1:5" x14ac:dyDescent="0.3">
      <c r="A59" s="4" t="s">
        <v>32</v>
      </c>
      <c r="B59" s="5">
        <v>3322.0251363636362</v>
      </c>
      <c r="C59" s="5">
        <v>80.896863672357981</v>
      </c>
      <c r="D59" s="5">
        <v>3356.16</v>
      </c>
      <c r="E59" s="5">
        <v>3066.48</v>
      </c>
    </row>
    <row r="60" spans="1:5" x14ac:dyDescent="0.3">
      <c r="A60" s="4" t="s">
        <v>27</v>
      </c>
      <c r="B60" s="5">
        <v>3313.6508796296298</v>
      </c>
      <c r="C60" s="5">
        <v>124.20409447277736</v>
      </c>
      <c r="D60" s="5">
        <v>3500</v>
      </c>
      <c r="E60" s="5">
        <v>3142.86</v>
      </c>
    </row>
    <row r="61" spans="1:5" x14ac:dyDescent="0.3">
      <c r="A61" s="4" t="s">
        <v>45</v>
      </c>
      <c r="B61" s="5">
        <v>4712.0516666666663</v>
      </c>
      <c r="C61" s="5">
        <v>516.45169801133477</v>
      </c>
      <c r="D61" s="5">
        <v>5600</v>
      </c>
      <c r="E61" s="5">
        <v>4099</v>
      </c>
    </row>
    <row r="62" spans="1:5" x14ac:dyDescent="0.3">
      <c r="A62" s="4" t="s">
        <v>63</v>
      </c>
      <c r="B62" s="5">
        <v>1271.3587242485228</v>
      </c>
      <c r="C62" s="5">
        <v>4560.1275044356207</v>
      </c>
      <c r="D62" s="5">
        <v>33928.57</v>
      </c>
      <c r="E62" s="5">
        <v>0.95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0E35-B06C-49CA-81F8-8ADFB5907867}">
  <dimension ref="A1:F59"/>
  <sheetViews>
    <sheetView workbookViewId="0">
      <selection activeCell="I13" sqref="I13"/>
    </sheetView>
  </sheetViews>
  <sheetFormatPr defaultRowHeight="14.4" x14ac:dyDescent="0.3"/>
  <cols>
    <col min="1" max="1" width="19.109375" bestFit="1" customWidth="1"/>
    <col min="2" max="2" width="17" bestFit="1" customWidth="1"/>
    <col min="3" max="4" width="17" customWidth="1"/>
    <col min="5" max="5" width="16.109375" bestFit="1" customWidth="1"/>
    <col min="6" max="6" width="12" bestFit="1" customWidth="1"/>
  </cols>
  <sheetData>
    <row r="1" spans="1:6" x14ac:dyDescent="0.3">
      <c r="A1" s="7" t="s">
        <v>66</v>
      </c>
      <c r="B1" s="7" t="s">
        <v>67</v>
      </c>
      <c r="C1" s="7" t="s">
        <v>72</v>
      </c>
      <c r="D1" s="7" t="s">
        <v>73</v>
      </c>
      <c r="E1" s="7" t="s">
        <v>68</v>
      </c>
      <c r="F1" s="7" t="s">
        <v>69</v>
      </c>
    </row>
    <row r="2" spans="1:6" hidden="1" x14ac:dyDescent="0.3">
      <c r="A2" s="11" t="s">
        <v>49</v>
      </c>
      <c r="B2" s="11">
        <v>29.584553333333336</v>
      </c>
      <c r="C2" s="11">
        <v>63.95</v>
      </c>
      <c r="D2" s="11">
        <v>11.02732</v>
      </c>
      <c r="E2" s="11">
        <v>25.389690859893701</v>
      </c>
      <c r="F2" s="11">
        <f t="shared" ref="F2:F33" si="0">E2/B2</f>
        <v>0.85820767931915254</v>
      </c>
    </row>
    <row r="3" spans="1:6" hidden="1" x14ac:dyDescent="0.3">
      <c r="A3" s="11" t="s">
        <v>53</v>
      </c>
      <c r="B3" s="11">
        <v>38.570694444444449</v>
      </c>
      <c r="C3" s="11">
        <v>66.5</v>
      </c>
      <c r="D3" s="11">
        <v>7.4249999999999998</v>
      </c>
      <c r="E3" s="11">
        <v>28.383483446446704</v>
      </c>
      <c r="F3" s="11">
        <f t="shared" si="0"/>
        <v>0.7358820953387043</v>
      </c>
    </row>
    <row r="4" spans="1:6" hidden="1" x14ac:dyDescent="0.3">
      <c r="A4" s="11" t="s">
        <v>12</v>
      </c>
      <c r="B4" s="11">
        <v>68.550375000000017</v>
      </c>
      <c r="C4" s="11">
        <v>93.754500000000007</v>
      </c>
      <c r="D4" s="11">
        <v>0.95</v>
      </c>
      <c r="E4" s="11">
        <v>40.775178299105704</v>
      </c>
      <c r="F4" s="11">
        <f t="shared" si="0"/>
        <v>0.59482064538823742</v>
      </c>
    </row>
    <row r="5" spans="1:6" hidden="1" x14ac:dyDescent="0.3">
      <c r="A5" s="11" t="s">
        <v>15</v>
      </c>
      <c r="B5" s="11">
        <v>83.537499999999994</v>
      </c>
      <c r="C5" s="11">
        <v>113</v>
      </c>
      <c r="D5" s="11">
        <v>1.1499999999999999</v>
      </c>
      <c r="E5" s="11">
        <v>49.687021009698114</v>
      </c>
      <c r="F5" s="11">
        <f t="shared" si="0"/>
        <v>0.59478702390780325</v>
      </c>
    </row>
    <row r="6" spans="1:6" hidden="1" x14ac:dyDescent="0.3">
      <c r="A6" s="11" t="s">
        <v>50</v>
      </c>
      <c r="B6" s="11">
        <v>80.800000000000011</v>
      </c>
      <c r="C6" s="11">
        <v>107</v>
      </c>
      <c r="D6" s="11">
        <v>2.2000000000000002</v>
      </c>
      <c r="E6" s="11">
        <v>47.397583367624414</v>
      </c>
      <c r="F6" s="11">
        <f t="shared" si="0"/>
        <v>0.58660375454980707</v>
      </c>
    </row>
    <row r="7" spans="1:6" hidden="1" x14ac:dyDescent="0.3">
      <c r="A7" s="11" t="s">
        <v>46</v>
      </c>
      <c r="B7" s="11">
        <v>127.16509321266972</v>
      </c>
      <c r="C7" s="11">
        <v>179</v>
      </c>
      <c r="D7" s="11">
        <v>13.824784615384621</v>
      </c>
      <c r="E7" s="11">
        <v>68.696653078411998</v>
      </c>
      <c r="F7" s="11">
        <f t="shared" si="0"/>
        <v>0.54021627588888999</v>
      </c>
    </row>
    <row r="8" spans="1:6" hidden="1" x14ac:dyDescent="0.3">
      <c r="A8" s="11" t="s">
        <v>28</v>
      </c>
      <c r="B8" s="11">
        <v>117.40424242424244</v>
      </c>
      <c r="C8" s="11">
        <v>143</v>
      </c>
      <c r="D8" s="11">
        <v>1.38</v>
      </c>
      <c r="E8" s="11">
        <v>54.243571987179919</v>
      </c>
      <c r="F8" s="11">
        <f t="shared" si="0"/>
        <v>0.4620239513251127</v>
      </c>
    </row>
    <row r="9" spans="1:6" x14ac:dyDescent="0.3">
      <c r="A9" s="8" t="s">
        <v>18</v>
      </c>
      <c r="B9" s="8">
        <v>927.03929020620183</v>
      </c>
      <c r="C9" s="8">
        <v>1410</v>
      </c>
      <c r="D9" s="8">
        <v>700.66</v>
      </c>
      <c r="E9" s="8">
        <v>197.70725001749733</v>
      </c>
      <c r="F9" s="8">
        <f>E9/B9</f>
        <v>0.21326739018097193</v>
      </c>
    </row>
    <row r="10" spans="1:6" x14ac:dyDescent="0.3">
      <c r="A10" s="8" t="s">
        <v>62</v>
      </c>
      <c r="B10" s="8">
        <v>514.5</v>
      </c>
      <c r="C10" s="8">
        <v>514.5</v>
      </c>
      <c r="D10" s="8">
        <v>514.5</v>
      </c>
      <c r="E10" s="8">
        <v>0</v>
      </c>
      <c r="F10" s="8">
        <f>E10/B10</f>
        <v>0</v>
      </c>
    </row>
    <row r="11" spans="1:6" x14ac:dyDescent="0.3">
      <c r="A11" s="8" t="s">
        <v>54</v>
      </c>
      <c r="B11" s="8">
        <v>481.97389860869697</v>
      </c>
      <c r="C11" s="8">
        <v>514.5</v>
      </c>
      <c r="D11" s="8">
        <v>431.44557377049182</v>
      </c>
      <c r="E11" s="8">
        <v>27.404079019160879</v>
      </c>
      <c r="F11" s="8">
        <f>E11/B11</f>
        <v>5.6858014714629999E-2</v>
      </c>
    </row>
    <row r="12" spans="1:6" x14ac:dyDescent="0.3">
      <c r="A12" s="8" t="s">
        <v>17</v>
      </c>
      <c r="B12" s="8">
        <v>3.4162194149453455</v>
      </c>
      <c r="C12" s="8">
        <v>7.0921052631578947</v>
      </c>
      <c r="D12" s="8">
        <v>3</v>
      </c>
      <c r="E12" s="8">
        <v>1.1610878275387533</v>
      </c>
      <c r="F12" s="8">
        <f>E12/B12</f>
        <v>0.33987507431730024</v>
      </c>
    </row>
    <row r="13" spans="1:6" x14ac:dyDescent="0.3">
      <c r="A13" s="8" t="s">
        <v>33</v>
      </c>
      <c r="B13" s="8">
        <v>3.6143333333333341</v>
      </c>
      <c r="C13" s="8">
        <v>3.74</v>
      </c>
      <c r="D13" s="8">
        <v>3.51</v>
      </c>
      <c r="E13" s="8">
        <v>0.11452616480193935</v>
      </c>
      <c r="F13" s="8">
        <f>E13/B13</f>
        <v>3.1686663691397027E-2</v>
      </c>
    </row>
    <row r="14" spans="1:6" x14ac:dyDescent="0.3">
      <c r="A14" s="8" t="s">
        <v>31</v>
      </c>
      <c r="B14" s="8">
        <v>63.908333333333324</v>
      </c>
      <c r="C14" s="8">
        <v>67.42</v>
      </c>
      <c r="D14" s="8">
        <v>61.4</v>
      </c>
      <c r="E14" s="8">
        <v>3.0998704762779261</v>
      </c>
      <c r="F14" s="8">
        <f>E14/B14</f>
        <v>4.850494942669855E-2</v>
      </c>
    </row>
    <row r="15" spans="1:6" x14ac:dyDescent="0.3">
      <c r="A15" s="8" t="s">
        <v>60</v>
      </c>
      <c r="B15" s="8">
        <v>881.25</v>
      </c>
      <c r="C15" s="8">
        <v>900</v>
      </c>
      <c r="D15" s="8">
        <v>825</v>
      </c>
      <c r="E15" s="8">
        <v>33.920026264998405</v>
      </c>
      <c r="F15" s="8">
        <f>E15/B15</f>
        <v>3.8490809946097479E-2</v>
      </c>
    </row>
    <row r="16" spans="1:6" x14ac:dyDescent="0.3">
      <c r="A16" s="8" t="s">
        <v>35</v>
      </c>
      <c r="B16" s="8">
        <v>11.900000000000004</v>
      </c>
      <c r="C16" s="8">
        <v>11.9</v>
      </c>
      <c r="D16" s="8">
        <v>11.9</v>
      </c>
      <c r="E16" s="8">
        <v>0</v>
      </c>
      <c r="F16" s="8">
        <f>E16/B16</f>
        <v>0</v>
      </c>
    </row>
    <row r="17" spans="1:6" x14ac:dyDescent="0.3">
      <c r="A17" s="8" t="s">
        <v>7</v>
      </c>
      <c r="B17" s="8">
        <v>12.647087393122648</v>
      </c>
      <c r="C17" s="8">
        <v>12.722225877192979</v>
      </c>
      <c r="D17" s="8">
        <v>12.460693504190839</v>
      </c>
      <c r="E17" s="8">
        <v>9.4265194980675732E-2</v>
      </c>
      <c r="F17" s="8">
        <f>E17/B17</f>
        <v>7.4535102075704912E-3</v>
      </c>
    </row>
    <row r="18" spans="1:6" x14ac:dyDescent="0.3">
      <c r="A18" s="8" t="s">
        <v>22</v>
      </c>
      <c r="B18" s="8">
        <v>21006</v>
      </c>
      <c r="C18" s="8">
        <v>22000</v>
      </c>
      <c r="D18" s="8">
        <v>20536</v>
      </c>
      <c r="E18" s="8">
        <v>360.57529789843545</v>
      </c>
      <c r="F18" s="8">
        <f>E18/B18</f>
        <v>1.7165347895764804E-2</v>
      </c>
    </row>
    <row r="19" spans="1:6" x14ac:dyDescent="0.3">
      <c r="A19" s="8" t="s">
        <v>24</v>
      </c>
      <c r="B19" s="8">
        <v>840.00187499999993</v>
      </c>
      <c r="C19" s="8">
        <v>960</v>
      </c>
      <c r="D19" s="8">
        <v>720</v>
      </c>
      <c r="E19" s="8">
        <v>125.33395394507373</v>
      </c>
      <c r="F19" s="8">
        <f>E19/B19</f>
        <v>0.14920675497905733</v>
      </c>
    </row>
    <row r="20" spans="1:6" x14ac:dyDescent="0.3">
      <c r="A20" s="8" t="s">
        <v>19</v>
      </c>
      <c r="B20" s="8">
        <v>83.217156244023712</v>
      </c>
      <c r="C20" s="8">
        <v>143.5</v>
      </c>
      <c r="D20" s="8">
        <v>64</v>
      </c>
      <c r="E20" s="8">
        <v>24.30082567644433</v>
      </c>
      <c r="F20" s="8">
        <f>E20/B20</f>
        <v>0.29201701636120864</v>
      </c>
    </row>
    <row r="21" spans="1:6" x14ac:dyDescent="0.3">
      <c r="A21" s="8" t="s">
        <v>38</v>
      </c>
      <c r="B21" s="8">
        <v>333.41383333333334</v>
      </c>
      <c r="C21" s="8">
        <v>343.76600000000002</v>
      </c>
      <c r="D21" s="8">
        <v>327.2</v>
      </c>
      <c r="E21" s="8">
        <v>3.661739026329772</v>
      </c>
      <c r="F21" s="8">
        <f>E21/B21</f>
        <v>1.0982564789592629E-2</v>
      </c>
    </row>
    <row r="22" spans="1:6" x14ac:dyDescent="0.3">
      <c r="A22" s="8" t="s">
        <v>59</v>
      </c>
      <c r="B22" s="8">
        <v>167.02500000000001</v>
      </c>
      <c r="C22" s="8">
        <v>170</v>
      </c>
      <c r="D22" s="8">
        <v>164.9</v>
      </c>
      <c r="E22" s="8">
        <v>2.6261361177764284</v>
      </c>
      <c r="F22" s="8">
        <f>E22/B22</f>
        <v>1.5723012230363289E-2</v>
      </c>
    </row>
    <row r="23" spans="1:6" x14ac:dyDescent="0.3">
      <c r="A23" s="8" t="s">
        <v>39</v>
      </c>
      <c r="B23" s="8">
        <v>188.61249999999998</v>
      </c>
      <c r="C23" s="8">
        <v>191</v>
      </c>
      <c r="D23" s="8">
        <v>185.27</v>
      </c>
      <c r="E23" s="8">
        <v>2.9505411676201203</v>
      </c>
      <c r="F23" s="8">
        <f>E23/B23</f>
        <v>1.5643402041858948E-2</v>
      </c>
    </row>
    <row r="24" spans="1:6" x14ac:dyDescent="0.3">
      <c r="A24" s="8" t="s">
        <v>37</v>
      </c>
      <c r="B24" s="8">
        <v>219.22499999999999</v>
      </c>
      <c r="C24" s="8">
        <v>222</v>
      </c>
      <c r="D24" s="8">
        <v>215.34</v>
      </c>
      <c r="E24" s="8">
        <v>3.4294248126269764</v>
      </c>
      <c r="F24" s="8">
        <f>E24/B24</f>
        <v>1.5643402041860995E-2</v>
      </c>
    </row>
    <row r="25" spans="1:6" x14ac:dyDescent="0.3">
      <c r="A25" s="8" t="s">
        <v>11</v>
      </c>
      <c r="B25" s="8">
        <v>2.5833916636936616</v>
      </c>
      <c r="C25" s="8">
        <v>3.7</v>
      </c>
      <c r="D25" s="8">
        <v>1.6964999999999999</v>
      </c>
      <c r="E25" s="8">
        <v>0.93501260617448478</v>
      </c>
      <c r="F25" s="8">
        <f>E25/B25</f>
        <v>0.36193219143458477</v>
      </c>
    </row>
    <row r="26" spans="1:6" x14ac:dyDescent="0.3">
      <c r="A26" s="8" t="s">
        <v>8</v>
      </c>
      <c r="B26" s="8">
        <v>108.78489246048424</v>
      </c>
      <c r="C26" s="8">
        <v>135.14814814814821</v>
      </c>
      <c r="D26" s="8">
        <v>84</v>
      </c>
      <c r="E26" s="8">
        <v>20.94495926338389</v>
      </c>
      <c r="F26" s="8">
        <f>E26/B26</f>
        <v>0.19253555148746485</v>
      </c>
    </row>
    <row r="27" spans="1:6" x14ac:dyDescent="0.3">
      <c r="A27" s="8" t="s">
        <v>40</v>
      </c>
      <c r="B27" s="8">
        <v>4259.6500000000005</v>
      </c>
      <c r="C27" s="8">
        <v>4812.7</v>
      </c>
      <c r="D27" s="8">
        <v>3700</v>
      </c>
      <c r="E27" s="8">
        <v>513.80777180151085</v>
      </c>
      <c r="F27" s="8">
        <f>E27/B27</f>
        <v>0.12062206326846356</v>
      </c>
    </row>
    <row r="28" spans="1:6" x14ac:dyDescent="0.3">
      <c r="A28" s="8" t="s">
        <v>48</v>
      </c>
      <c r="B28" s="8">
        <v>2.5875000000000004</v>
      </c>
      <c r="C28" s="8">
        <v>2.75</v>
      </c>
      <c r="D28" s="8">
        <v>2.1</v>
      </c>
      <c r="E28" s="8">
        <v>0.29397356096331329</v>
      </c>
      <c r="F28" s="8">
        <f>E28/B28</f>
        <v>0.11361297042060416</v>
      </c>
    </row>
    <row r="29" spans="1:6" x14ac:dyDescent="0.3">
      <c r="A29" s="8" t="s">
        <v>58</v>
      </c>
      <c r="B29" s="8">
        <v>38</v>
      </c>
      <c r="C29" s="8">
        <v>38</v>
      </c>
      <c r="D29" s="8">
        <v>38</v>
      </c>
      <c r="E29" s="8">
        <v>0</v>
      </c>
      <c r="F29" s="8">
        <f>E29/B29</f>
        <v>0</v>
      </c>
    </row>
    <row r="30" spans="1:6" x14ac:dyDescent="0.3">
      <c r="A30" s="8" t="s">
        <v>30</v>
      </c>
      <c r="B30" s="8">
        <v>400</v>
      </c>
      <c r="C30" s="8">
        <v>400</v>
      </c>
      <c r="D30" s="8">
        <v>400</v>
      </c>
      <c r="E30" s="8">
        <v>0</v>
      </c>
      <c r="F30" s="8">
        <f>E30/B30</f>
        <v>0</v>
      </c>
    </row>
    <row r="31" spans="1:6" x14ac:dyDescent="0.3">
      <c r="A31" s="8" t="s">
        <v>14</v>
      </c>
      <c r="B31" s="8">
        <v>133.13769429985399</v>
      </c>
      <c r="C31" s="8">
        <v>254.47666666666669</v>
      </c>
      <c r="D31" s="8">
        <v>100.8976923076923</v>
      </c>
      <c r="E31" s="8">
        <v>57.208202066804873</v>
      </c>
      <c r="F31" s="8">
        <f>E31/B31</f>
        <v>0.42969199945704339</v>
      </c>
    </row>
    <row r="32" spans="1:6" x14ac:dyDescent="0.3">
      <c r="A32" s="8" t="s">
        <v>16</v>
      </c>
      <c r="B32" s="8">
        <v>5.7714000000000008</v>
      </c>
      <c r="C32" s="8">
        <v>6.6</v>
      </c>
      <c r="D32" s="8">
        <v>5.3571</v>
      </c>
      <c r="E32" s="8">
        <v>0.61196165655284374</v>
      </c>
      <c r="F32" s="8">
        <f>E32/B32</f>
        <v>0.10603348521205316</v>
      </c>
    </row>
    <row r="33" spans="1:6" x14ac:dyDescent="0.3">
      <c r="A33" s="8" t="s">
        <v>55</v>
      </c>
      <c r="B33" s="8">
        <v>8.4676675454545443</v>
      </c>
      <c r="C33" s="8">
        <v>8.4825499999999998</v>
      </c>
      <c r="D33" s="8">
        <v>8.3039699999999996</v>
      </c>
      <c r="E33" s="8">
        <v>5.1551357423026391E-2</v>
      </c>
      <c r="F33" s="8">
        <f>E33/B33</f>
        <v>6.0880233129487031E-3</v>
      </c>
    </row>
    <row r="34" spans="1:6" x14ac:dyDescent="0.3">
      <c r="A34" s="8" t="s">
        <v>26</v>
      </c>
      <c r="B34" s="8">
        <v>5.3523416666666677</v>
      </c>
      <c r="C34" s="8">
        <v>5.3571</v>
      </c>
      <c r="D34" s="8">
        <v>5.3</v>
      </c>
      <c r="E34" s="8">
        <v>1.6483350185104939E-2</v>
      </c>
      <c r="F34" s="8">
        <f>E34/B34</f>
        <v>3.0796520871901743E-3</v>
      </c>
    </row>
    <row r="35" spans="1:6" x14ac:dyDescent="0.3">
      <c r="A35" s="8" t="s">
        <v>61</v>
      </c>
      <c r="B35" s="8">
        <v>354.54743589743583</v>
      </c>
      <c r="C35" s="8">
        <v>410</v>
      </c>
      <c r="D35" s="8">
        <v>300</v>
      </c>
      <c r="E35" s="8">
        <v>40.669125858560299</v>
      </c>
      <c r="F35" s="8">
        <f>E35/B35</f>
        <v>0.11470714985039447</v>
      </c>
    </row>
    <row r="36" spans="1:6" x14ac:dyDescent="0.3">
      <c r="A36" s="8" t="s">
        <v>42</v>
      </c>
      <c r="B36" s="8">
        <v>684.43296366614538</v>
      </c>
      <c r="C36" s="8">
        <v>759.43</v>
      </c>
      <c r="D36" s="8">
        <v>611.32561983471066</v>
      </c>
      <c r="E36" s="8">
        <v>44.66060276307838</v>
      </c>
      <c r="F36" s="8">
        <f>E36/B36</f>
        <v>6.5251975188125297E-2</v>
      </c>
    </row>
    <row r="37" spans="1:6" x14ac:dyDescent="0.3">
      <c r="A37" s="8" t="s">
        <v>52</v>
      </c>
      <c r="B37" s="8">
        <v>52.20000000000001</v>
      </c>
      <c r="C37" s="8">
        <v>52.2</v>
      </c>
      <c r="D37" s="8">
        <v>52.2</v>
      </c>
      <c r="E37" s="8">
        <v>0</v>
      </c>
      <c r="F37" s="8">
        <f>E37/B37</f>
        <v>0</v>
      </c>
    </row>
    <row r="38" spans="1:6" x14ac:dyDescent="0.3">
      <c r="A38" s="8" t="s">
        <v>29</v>
      </c>
      <c r="B38" s="8">
        <v>22.34708333333333</v>
      </c>
      <c r="C38" s="8">
        <v>23.4</v>
      </c>
      <c r="D38" s="8">
        <v>21.594999999999999</v>
      </c>
      <c r="E38" s="8">
        <v>0.92944621423278484</v>
      </c>
      <c r="F38" s="8">
        <f>E38/B38</f>
        <v>4.1591388028987451E-2</v>
      </c>
    </row>
    <row r="39" spans="1:6" x14ac:dyDescent="0.3">
      <c r="A39" s="8" t="s">
        <v>21</v>
      </c>
      <c r="B39" s="8">
        <v>1058.5</v>
      </c>
      <c r="C39" s="8">
        <v>1060</v>
      </c>
      <c r="D39" s="8">
        <v>1051</v>
      </c>
      <c r="E39" s="8">
        <v>3.5032452487268535</v>
      </c>
      <c r="F39" s="8">
        <f>E39/B39</f>
        <v>3.3096317890664653E-3</v>
      </c>
    </row>
    <row r="40" spans="1:6" x14ac:dyDescent="0.3">
      <c r="A40" s="8" t="s">
        <v>56</v>
      </c>
      <c r="B40" s="8">
        <v>27827.498333333333</v>
      </c>
      <c r="C40" s="8">
        <v>33928.57</v>
      </c>
      <c r="D40" s="8">
        <v>23215</v>
      </c>
      <c r="E40" s="8">
        <v>3888.6149987304761</v>
      </c>
      <c r="F40" s="8">
        <f>E40/B40</f>
        <v>0.13974001371414962</v>
      </c>
    </row>
    <row r="41" spans="1:6" x14ac:dyDescent="0.3">
      <c r="A41" s="8" t="s">
        <v>51</v>
      </c>
      <c r="B41" s="8">
        <v>709.22833333333335</v>
      </c>
      <c r="C41" s="8">
        <v>725</v>
      </c>
      <c r="D41" s="8">
        <v>700</v>
      </c>
      <c r="E41" s="8">
        <v>8.6774470830276691</v>
      </c>
      <c r="F41" s="8">
        <f>E41/B41</f>
        <v>1.2235054178171584E-2</v>
      </c>
    </row>
    <row r="42" spans="1:6" x14ac:dyDescent="0.3">
      <c r="A42" s="8" t="s">
        <v>57</v>
      </c>
      <c r="B42" s="8">
        <v>32.25</v>
      </c>
      <c r="C42" s="8">
        <v>35</v>
      </c>
      <c r="D42" s="8">
        <v>32</v>
      </c>
      <c r="E42" s="8">
        <v>0.8660254037844386</v>
      </c>
      <c r="F42" s="8">
        <f>E42/B42</f>
        <v>2.6853500892540731E-2</v>
      </c>
    </row>
    <row r="43" spans="1:6" x14ac:dyDescent="0.3">
      <c r="A43" s="8" t="s">
        <v>44</v>
      </c>
      <c r="B43" s="8">
        <v>4.1550000000000002</v>
      </c>
      <c r="C43" s="8">
        <v>4.93</v>
      </c>
      <c r="D43" s="8">
        <v>4</v>
      </c>
      <c r="E43" s="8">
        <v>0.36200200903510699</v>
      </c>
      <c r="F43" s="8">
        <f>E43/B43</f>
        <v>8.7124430574032963E-2</v>
      </c>
    </row>
    <row r="44" spans="1:6" x14ac:dyDescent="0.3">
      <c r="A44" s="8" t="s">
        <v>43</v>
      </c>
      <c r="B44" s="8">
        <v>6.9774414814814811</v>
      </c>
      <c r="C44" s="8">
        <v>7.5896488888888882</v>
      </c>
      <c r="D44" s="8">
        <v>6.75</v>
      </c>
      <c r="E44" s="8">
        <v>0.2933761134298008</v>
      </c>
      <c r="F44" s="8">
        <f>E44/B44</f>
        <v>4.2046373904881522E-2</v>
      </c>
    </row>
    <row r="45" spans="1:6" x14ac:dyDescent="0.3">
      <c r="A45" s="8" t="s">
        <v>36</v>
      </c>
      <c r="B45" s="8">
        <v>14.190400000000002</v>
      </c>
      <c r="C45" s="8">
        <v>14.1904</v>
      </c>
      <c r="D45" s="8">
        <v>14.1904</v>
      </c>
      <c r="E45" s="8">
        <v>0</v>
      </c>
      <c r="F45" s="8">
        <f>E45/B45</f>
        <v>0</v>
      </c>
    </row>
    <row r="46" spans="1:6" x14ac:dyDescent="0.3">
      <c r="A46" s="8" t="s">
        <v>10</v>
      </c>
      <c r="B46" s="8">
        <v>22.579106880566453</v>
      </c>
      <c r="C46" s="8">
        <v>23.55388235294118</v>
      </c>
      <c r="D46" s="8">
        <v>22.04</v>
      </c>
      <c r="E46" s="8">
        <v>0.56784458950633587</v>
      </c>
      <c r="F46" s="8">
        <f>E46/B46</f>
        <v>2.5149116504473983E-2</v>
      </c>
    </row>
    <row r="47" spans="1:6" x14ac:dyDescent="0.3">
      <c r="A47" s="8" t="s">
        <v>5</v>
      </c>
      <c r="B47" s="8">
        <v>9.2591293305728097</v>
      </c>
      <c r="C47" s="8">
        <v>9.4751043478260861</v>
      </c>
      <c r="D47" s="8">
        <v>9.1642485714285726</v>
      </c>
      <c r="E47" s="8">
        <v>0.12228871709223649</v>
      </c>
      <c r="F47" s="8">
        <f>E47/B47</f>
        <v>1.3207366775669735E-2</v>
      </c>
    </row>
    <row r="48" spans="1:6" x14ac:dyDescent="0.3">
      <c r="A48" s="8" t="s">
        <v>41</v>
      </c>
      <c r="B48" s="8">
        <v>41.630398015873013</v>
      </c>
      <c r="C48" s="8">
        <v>41.630416666666662</v>
      </c>
      <c r="D48" s="8">
        <v>41.630388888888888</v>
      </c>
      <c r="E48" s="8">
        <v>1.0835474048939094E-5</v>
      </c>
      <c r="F48" s="8">
        <f>E48/B48</f>
        <v>2.6027793548377077E-7</v>
      </c>
    </row>
    <row r="49" spans="1:6" x14ac:dyDescent="0.3">
      <c r="A49" s="8" t="s">
        <v>6</v>
      </c>
      <c r="B49" s="8">
        <v>42.725150238021037</v>
      </c>
      <c r="C49" s="8">
        <v>44</v>
      </c>
      <c r="D49" s="8">
        <v>41.58</v>
      </c>
      <c r="E49" s="8">
        <v>0.72527388968784212</v>
      </c>
      <c r="F49" s="8">
        <f>E49/B49</f>
        <v>1.6975338545267938E-2</v>
      </c>
    </row>
    <row r="50" spans="1:6" x14ac:dyDescent="0.3">
      <c r="A50" s="8" t="s">
        <v>25</v>
      </c>
      <c r="B50" s="8">
        <v>132.84110294117647</v>
      </c>
      <c r="C50" s="8">
        <v>147</v>
      </c>
      <c r="D50" s="8">
        <v>127.575</v>
      </c>
      <c r="E50" s="8">
        <v>7.4396433965588908</v>
      </c>
      <c r="F50" s="8">
        <f>E50/B50</f>
        <v>5.6004077291147217E-2</v>
      </c>
    </row>
    <row r="51" spans="1:6" x14ac:dyDescent="0.3">
      <c r="A51" s="8" t="s">
        <v>34</v>
      </c>
      <c r="B51" s="8">
        <v>3.75</v>
      </c>
      <c r="C51" s="8">
        <v>3.75</v>
      </c>
      <c r="D51" s="8">
        <v>3.75</v>
      </c>
      <c r="E51" s="8">
        <v>0</v>
      </c>
      <c r="F51" s="8">
        <f>E51/B51</f>
        <v>0</v>
      </c>
    </row>
    <row r="52" spans="1:6" x14ac:dyDescent="0.3">
      <c r="A52" s="8" t="s">
        <v>47</v>
      </c>
      <c r="B52" s="8">
        <v>4.5</v>
      </c>
      <c r="C52" s="8">
        <v>4.5</v>
      </c>
      <c r="D52" s="8">
        <v>4.5</v>
      </c>
      <c r="E52" s="8">
        <v>0</v>
      </c>
      <c r="F52" s="8">
        <f>E52/B52</f>
        <v>0</v>
      </c>
    </row>
    <row r="53" spans="1:6" x14ac:dyDescent="0.3">
      <c r="A53" s="8" t="s">
        <v>13</v>
      </c>
      <c r="B53" s="8">
        <v>12.070000000000002</v>
      </c>
      <c r="C53" s="8">
        <v>12.41</v>
      </c>
      <c r="D53" s="8">
        <v>11.9</v>
      </c>
      <c r="E53" s="8">
        <v>0.25110664159772622</v>
      </c>
      <c r="F53" s="8">
        <f>E53/B53</f>
        <v>2.0804195658469443E-2</v>
      </c>
    </row>
    <row r="54" spans="1:6" x14ac:dyDescent="0.3">
      <c r="A54" s="8" t="s">
        <v>20</v>
      </c>
      <c r="B54" s="8">
        <v>13.622392928286851</v>
      </c>
      <c r="C54" s="8">
        <v>14.61125</v>
      </c>
      <c r="D54" s="8">
        <v>12.04621513944223</v>
      </c>
      <c r="E54" s="8">
        <v>0.66697984152796674</v>
      </c>
      <c r="F54" s="8">
        <f>E54/B54</f>
        <v>4.8962017542673097E-2</v>
      </c>
    </row>
    <row r="55" spans="1:6" x14ac:dyDescent="0.3">
      <c r="A55" s="8" t="s">
        <v>9</v>
      </c>
      <c r="B55" s="8">
        <v>13.582179456989245</v>
      </c>
      <c r="C55" s="8">
        <v>14.82096774193548</v>
      </c>
      <c r="D55" s="8">
        <v>11.144218</v>
      </c>
      <c r="E55" s="8">
        <v>0.92680187272636172</v>
      </c>
      <c r="F55" s="8">
        <f>E55/B55</f>
        <v>6.8236609276240964E-2</v>
      </c>
    </row>
    <row r="56" spans="1:6" x14ac:dyDescent="0.3">
      <c r="A56" s="8" t="s">
        <v>23</v>
      </c>
      <c r="B56" s="8">
        <v>80.5</v>
      </c>
      <c r="C56" s="8">
        <v>81</v>
      </c>
      <c r="D56" s="8">
        <v>75</v>
      </c>
      <c r="E56" s="8">
        <v>1.7320508075688772</v>
      </c>
      <c r="F56" s="8">
        <f>E56/B56</f>
        <v>2.1516159100234498E-2</v>
      </c>
    </row>
    <row r="57" spans="1:6" x14ac:dyDescent="0.3">
      <c r="A57" s="8" t="s">
        <v>32</v>
      </c>
      <c r="B57" s="8">
        <v>3322.0251363636362</v>
      </c>
      <c r="C57" s="8">
        <v>3356.16</v>
      </c>
      <c r="D57" s="8">
        <v>3066.48</v>
      </c>
      <c r="E57" s="8">
        <v>80.896863672357981</v>
      </c>
      <c r="F57" s="8">
        <f>E57/B57</f>
        <v>2.4351671149878629E-2</v>
      </c>
    </row>
    <row r="58" spans="1:6" x14ac:dyDescent="0.3">
      <c r="A58" s="8" t="s">
        <v>27</v>
      </c>
      <c r="B58" s="8">
        <v>3313.6508796296298</v>
      </c>
      <c r="C58" s="8">
        <v>3500</v>
      </c>
      <c r="D58" s="8">
        <v>3142.86</v>
      </c>
      <c r="E58" s="8">
        <v>124.20409447277736</v>
      </c>
      <c r="F58" s="8">
        <f>E58/B58</f>
        <v>3.7482552925629804E-2</v>
      </c>
    </row>
    <row r="59" spans="1:6" x14ac:dyDescent="0.3">
      <c r="A59" s="8" t="s">
        <v>45</v>
      </c>
      <c r="B59" s="8">
        <v>4712.0516666666663</v>
      </c>
      <c r="C59" s="8">
        <v>5600</v>
      </c>
      <c r="D59" s="8">
        <v>4099</v>
      </c>
      <c r="E59" s="8">
        <v>516.45169801133477</v>
      </c>
      <c r="F59" s="8">
        <f>E59/B59</f>
        <v>0.10960229949615044</v>
      </c>
    </row>
  </sheetData>
  <sortState xmlns:xlrd2="http://schemas.microsoft.com/office/spreadsheetml/2017/richdata2" ref="A9:F59">
    <sortCondition ref="A2:A5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F27E-B89A-410B-AAE6-3BB6D2F8A90A}">
  <dimension ref="A1:E13"/>
  <sheetViews>
    <sheetView workbookViewId="0">
      <selection activeCell="B1" sqref="B1:B13"/>
    </sheetView>
  </sheetViews>
  <sheetFormatPr defaultRowHeight="14.4" x14ac:dyDescent="0.3"/>
  <cols>
    <col min="1" max="1" width="18" bestFit="1" customWidth="1"/>
    <col min="2" max="2" width="18" customWidth="1"/>
    <col min="3" max="3" width="16.33203125" bestFit="1" customWidth="1"/>
    <col min="4" max="4" width="16.33203125" customWidth="1"/>
    <col min="5" max="5" width="12" bestFit="1" customWidth="1"/>
  </cols>
  <sheetData>
    <row r="1" spans="1:5" x14ac:dyDescent="0.3">
      <c r="A1" s="1" t="s">
        <v>0</v>
      </c>
      <c r="B1" s="8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4">
        <v>45383</v>
      </c>
      <c r="B2" s="15">
        <v>45383</v>
      </c>
      <c r="C2" s="8" t="s">
        <v>14</v>
      </c>
      <c r="D2" s="8">
        <v>0</v>
      </c>
      <c r="E2" s="16">
        <v>106.48269281045749</v>
      </c>
    </row>
    <row r="3" spans="1:5" x14ac:dyDescent="0.3">
      <c r="A3" s="14">
        <v>45413</v>
      </c>
      <c r="B3" s="15">
        <v>45413</v>
      </c>
      <c r="C3" s="8" t="s">
        <v>14</v>
      </c>
      <c r="D3" s="8">
        <v>1026</v>
      </c>
      <c r="E3" s="16">
        <v>108.5369590643275</v>
      </c>
    </row>
    <row r="4" spans="1:5" x14ac:dyDescent="0.3">
      <c r="A4" s="14">
        <v>45444</v>
      </c>
      <c r="B4" s="15">
        <v>45444</v>
      </c>
      <c r="C4" s="8" t="s">
        <v>14</v>
      </c>
      <c r="D4" s="8">
        <v>12</v>
      </c>
      <c r="E4" s="16">
        <v>254.47666666666669</v>
      </c>
    </row>
    <row r="5" spans="1:5" x14ac:dyDescent="0.3">
      <c r="A5" s="14">
        <v>45474</v>
      </c>
      <c r="B5" s="15">
        <v>45474</v>
      </c>
      <c r="C5" s="8" t="s">
        <v>14</v>
      </c>
      <c r="D5" s="8">
        <v>792</v>
      </c>
      <c r="E5" s="16">
        <v>107.14801767676769</v>
      </c>
    </row>
    <row r="6" spans="1:5" x14ac:dyDescent="0.3">
      <c r="A6" s="14">
        <v>45505</v>
      </c>
      <c r="B6" s="15">
        <v>45505</v>
      </c>
      <c r="C6" s="8" t="s">
        <v>14</v>
      </c>
      <c r="D6" s="8">
        <v>0</v>
      </c>
      <c r="E6" s="16">
        <v>107.14801767676769</v>
      </c>
    </row>
    <row r="7" spans="1:5" x14ac:dyDescent="0.3">
      <c r="A7" s="14">
        <v>45536</v>
      </c>
      <c r="B7" s="15">
        <v>45536</v>
      </c>
      <c r="C7" s="8" t="s">
        <v>14</v>
      </c>
      <c r="D7" s="8">
        <v>0</v>
      </c>
      <c r="E7" s="16">
        <v>107.14801767676769</v>
      </c>
    </row>
    <row r="8" spans="1:5" x14ac:dyDescent="0.3">
      <c r="A8" s="14">
        <v>45566</v>
      </c>
      <c r="B8" s="15">
        <v>45566</v>
      </c>
      <c r="C8" s="8" t="s">
        <v>14</v>
      </c>
      <c r="D8" s="8">
        <v>1320</v>
      </c>
      <c r="E8" s="16">
        <v>103.5763939393939</v>
      </c>
    </row>
    <row r="9" spans="1:5" x14ac:dyDescent="0.3">
      <c r="A9" s="14">
        <v>45597</v>
      </c>
      <c r="B9" s="15">
        <v>45597</v>
      </c>
      <c r="C9" s="8" t="s">
        <v>14</v>
      </c>
      <c r="D9" s="8">
        <v>0</v>
      </c>
      <c r="E9" s="16">
        <v>103.5763939393939</v>
      </c>
    </row>
    <row r="10" spans="1:5" x14ac:dyDescent="0.3">
      <c r="A10" s="14">
        <v>45627</v>
      </c>
      <c r="B10" s="15">
        <v>45627</v>
      </c>
      <c r="C10" s="8" t="s">
        <v>14</v>
      </c>
      <c r="D10" s="8">
        <v>442</v>
      </c>
      <c r="E10" s="16">
        <v>131.60782805429861</v>
      </c>
    </row>
    <row r="11" spans="1:5" x14ac:dyDescent="0.3">
      <c r="A11" s="14">
        <v>45658</v>
      </c>
      <c r="B11" s="15">
        <v>45658</v>
      </c>
      <c r="C11" s="8" t="s">
        <v>14</v>
      </c>
      <c r="D11" s="8">
        <v>1120</v>
      </c>
      <c r="E11" s="16">
        <v>112.57715178571431</v>
      </c>
    </row>
    <row r="12" spans="1:5" x14ac:dyDescent="0.3">
      <c r="A12" s="14">
        <v>45689</v>
      </c>
      <c r="B12" s="15">
        <v>45689</v>
      </c>
      <c r="C12" s="8" t="s">
        <v>14</v>
      </c>
      <c r="D12" s="8">
        <v>60</v>
      </c>
      <c r="E12" s="16">
        <v>254.47649999999999</v>
      </c>
    </row>
    <row r="13" spans="1:5" x14ac:dyDescent="0.3">
      <c r="A13" s="14">
        <v>45717</v>
      </c>
      <c r="B13" s="15">
        <v>45717</v>
      </c>
      <c r="C13" s="8" t="s">
        <v>14</v>
      </c>
      <c r="D13" s="8">
        <v>39</v>
      </c>
      <c r="E13" s="16">
        <v>100.8976923076923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22A6-0D6C-4EC8-A624-077AED423E7A}">
  <dimension ref="A1:E13"/>
  <sheetViews>
    <sheetView workbookViewId="0">
      <selection activeCell="F28" sqref="F28"/>
    </sheetView>
  </sheetViews>
  <sheetFormatPr defaultRowHeight="14.4" x14ac:dyDescent="0.3"/>
  <cols>
    <col min="1" max="1" width="18" bestFit="1" customWidth="1"/>
    <col min="2" max="2" width="18" customWidth="1"/>
    <col min="3" max="3" width="19.109375" bestFit="1" customWidth="1"/>
    <col min="5" max="5" width="10.44140625" bestFit="1" customWidth="1"/>
  </cols>
  <sheetData>
    <row r="1" spans="1:5" x14ac:dyDescent="0.3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45383</v>
      </c>
      <c r="B2" s="9">
        <v>45383</v>
      </c>
      <c r="C2" t="s">
        <v>56</v>
      </c>
      <c r="D2">
        <v>0</v>
      </c>
      <c r="E2" s="10">
        <v>33928.57</v>
      </c>
    </row>
    <row r="3" spans="1:5" x14ac:dyDescent="0.3">
      <c r="A3" s="2">
        <v>45413</v>
      </c>
      <c r="B3" s="9">
        <v>45413</v>
      </c>
      <c r="C3" t="s">
        <v>56</v>
      </c>
      <c r="D3">
        <v>0</v>
      </c>
      <c r="E3" s="10">
        <v>33928.57</v>
      </c>
    </row>
    <row r="4" spans="1:5" x14ac:dyDescent="0.3">
      <c r="A4" s="2">
        <v>45444</v>
      </c>
      <c r="B4" s="9">
        <v>45444</v>
      </c>
      <c r="C4" t="s">
        <v>56</v>
      </c>
      <c r="D4">
        <v>0</v>
      </c>
      <c r="E4" s="10">
        <v>33928.57</v>
      </c>
    </row>
    <row r="5" spans="1:5" x14ac:dyDescent="0.3">
      <c r="A5" s="2">
        <v>45474</v>
      </c>
      <c r="B5" s="9">
        <v>45474</v>
      </c>
      <c r="C5" t="s">
        <v>56</v>
      </c>
      <c r="D5">
        <v>1</v>
      </c>
      <c r="E5" s="10">
        <v>26785.71</v>
      </c>
    </row>
    <row r="6" spans="1:5" x14ac:dyDescent="0.3">
      <c r="A6" s="2">
        <v>45505</v>
      </c>
      <c r="B6" s="9">
        <v>45505</v>
      </c>
      <c r="C6" t="s">
        <v>56</v>
      </c>
      <c r="D6">
        <v>0</v>
      </c>
      <c r="E6" s="10">
        <v>26785.71</v>
      </c>
    </row>
    <row r="7" spans="1:5" x14ac:dyDescent="0.3">
      <c r="A7" s="2">
        <v>45536</v>
      </c>
      <c r="B7" s="9">
        <v>45536</v>
      </c>
      <c r="C7" t="s">
        <v>56</v>
      </c>
      <c r="D7">
        <v>0</v>
      </c>
      <c r="E7" s="10">
        <v>26785.71</v>
      </c>
    </row>
    <row r="8" spans="1:5" x14ac:dyDescent="0.3">
      <c r="A8" s="2">
        <v>45566</v>
      </c>
      <c r="B8" s="9">
        <v>45566</v>
      </c>
      <c r="C8" t="s">
        <v>56</v>
      </c>
      <c r="D8">
        <v>2</v>
      </c>
      <c r="E8" s="10">
        <v>26339.285</v>
      </c>
    </row>
    <row r="9" spans="1:5" x14ac:dyDescent="0.3">
      <c r="A9" s="2">
        <v>45597</v>
      </c>
      <c r="B9" s="9">
        <v>45597</v>
      </c>
      <c r="C9" t="s">
        <v>56</v>
      </c>
      <c r="D9">
        <v>0</v>
      </c>
      <c r="E9" s="10">
        <v>26339.285</v>
      </c>
    </row>
    <row r="10" spans="1:5" x14ac:dyDescent="0.3">
      <c r="A10" s="2">
        <v>45627</v>
      </c>
      <c r="B10" s="9">
        <v>45627</v>
      </c>
      <c r="C10" t="s">
        <v>56</v>
      </c>
      <c r="D10">
        <v>0</v>
      </c>
      <c r="E10" s="10">
        <v>26339.285</v>
      </c>
    </row>
    <row r="11" spans="1:5" x14ac:dyDescent="0.3">
      <c r="A11" s="2">
        <v>45658</v>
      </c>
      <c r="B11" s="9">
        <v>45658</v>
      </c>
      <c r="C11" t="s">
        <v>56</v>
      </c>
      <c r="D11">
        <v>0</v>
      </c>
      <c r="E11" s="10">
        <v>26339.285</v>
      </c>
    </row>
    <row r="12" spans="1:5" x14ac:dyDescent="0.3">
      <c r="A12" s="2">
        <v>45689</v>
      </c>
      <c r="B12" s="9">
        <v>45689</v>
      </c>
      <c r="C12" t="s">
        <v>56</v>
      </c>
      <c r="D12">
        <v>1</v>
      </c>
      <c r="E12" s="10">
        <v>23215</v>
      </c>
    </row>
    <row r="13" spans="1:5" x14ac:dyDescent="0.3">
      <c r="A13" s="2">
        <v>45717</v>
      </c>
      <c r="B13" s="9">
        <v>45717</v>
      </c>
      <c r="C13" t="s">
        <v>56</v>
      </c>
      <c r="D13">
        <v>0</v>
      </c>
      <c r="E13" s="10">
        <v>23215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F9FC-CA35-43B8-BFFF-B64D27DB1CB2}">
  <dimension ref="A1:E13"/>
  <sheetViews>
    <sheetView workbookViewId="0">
      <selection activeCell="L21" sqref="L21"/>
    </sheetView>
  </sheetViews>
  <sheetFormatPr defaultRowHeight="14.4" x14ac:dyDescent="0.3"/>
  <cols>
    <col min="1" max="1" width="18" bestFit="1" customWidth="1"/>
    <col min="2" max="2" width="18" customWidth="1"/>
    <col min="3" max="3" width="16.21875" bestFit="1" customWidth="1"/>
  </cols>
  <sheetData>
    <row r="1" spans="1:5" x14ac:dyDescent="0.3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45383</v>
      </c>
      <c r="B2" s="9">
        <v>45383</v>
      </c>
      <c r="C2" t="s">
        <v>8</v>
      </c>
      <c r="D2">
        <v>880</v>
      </c>
      <c r="E2" s="10">
        <v>112.8181818181818</v>
      </c>
    </row>
    <row r="3" spans="1:5" x14ac:dyDescent="0.3">
      <c r="A3" s="2">
        <v>45413</v>
      </c>
      <c r="B3" s="9">
        <v>45413</v>
      </c>
      <c r="C3" t="s">
        <v>8</v>
      </c>
      <c r="D3">
        <v>1200</v>
      </c>
      <c r="E3" s="10">
        <v>125.45955833333331</v>
      </c>
    </row>
    <row r="4" spans="1:5" x14ac:dyDescent="0.3">
      <c r="A4" s="2">
        <v>45444</v>
      </c>
      <c r="B4" s="9">
        <v>45444</v>
      </c>
      <c r="C4" t="s">
        <v>8</v>
      </c>
      <c r="D4">
        <v>1620</v>
      </c>
      <c r="E4" s="10">
        <v>135.14814814814821</v>
      </c>
    </row>
    <row r="5" spans="1:5" x14ac:dyDescent="0.3">
      <c r="A5" s="2">
        <v>45474</v>
      </c>
      <c r="B5" s="9">
        <v>45474</v>
      </c>
      <c r="C5" t="s">
        <v>8</v>
      </c>
      <c r="D5">
        <v>0</v>
      </c>
      <c r="E5" s="10">
        <v>135.14814814814821</v>
      </c>
    </row>
    <row r="6" spans="1:5" x14ac:dyDescent="0.3">
      <c r="A6" s="2">
        <v>45505</v>
      </c>
      <c r="B6" s="9">
        <v>45505</v>
      </c>
      <c r="C6" t="s">
        <v>8</v>
      </c>
      <c r="D6">
        <v>0</v>
      </c>
      <c r="E6" s="10">
        <v>135.14814814814821</v>
      </c>
    </row>
    <row r="7" spans="1:5" x14ac:dyDescent="0.3">
      <c r="A7" s="2">
        <v>45536</v>
      </c>
      <c r="B7" s="9">
        <v>45536</v>
      </c>
      <c r="C7" t="s">
        <v>8</v>
      </c>
      <c r="D7">
        <v>1640</v>
      </c>
      <c r="E7" s="10">
        <v>89.41463414634147</v>
      </c>
    </row>
    <row r="8" spans="1:5" x14ac:dyDescent="0.3">
      <c r="A8" s="2">
        <v>45566</v>
      </c>
      <c r="B8" s="9">
        <v>45566</v>
      </c>
      <c r="C8" t="s">
        <v>8</v>
      </c>
      <c r="D8">
        <v>0</v>
      </c>
      <c r="E8" s="10">
        <v>89.41463414634147</v>
      </c>
    </row>
    <row r="9" spans="1:5" x14ac:dyDescent="0.3">
      <c r="A9" s="2">
        <v>45597</v>
      </c>
      <c r="B9" s="9">
        <v>45597</v>
      </c>
      <c r="C9" t="s">
        <v>8</v>
      </c>
      <c r="D9">
        <v>1020</v>
      </c>
      <c r="E9" s="10">
        <v>86</v>
      </c>
    </row>
    <row r="10" spans="1:5" x14ac:dyDescent="0.3">
      <c r="A10" s="2">
        <v>45627</v>
      </c>
      <c r="B10" s="9">
        <v>45627</v>
      </c>
      <c r="C10" t="s">
        <v>8</v>
      </c>
      <c r="D10">
        <v>0</v>
      </c>
      <c r="E10" s="10">
        <v>86</v>
      </c>
    </row>
    <row r="11" spans="1:5" x14ac:dyDescent="0.3">
      <c r="A11" s="2">
        <v>45658</v>
      </c>
      <c r="B11" s="9">
        <v>45658</v>
      </c>
      <c r="C11" t="s">
        <v>8</v>
      </c>
      <c r="D11">
        <v>1020</v>
      </c>
      <c r="E11" s="10">
        <v>84</v>
      </c>
    </row>
    <row r="12" spans="1:5" x14ac:dyDescent="0.3">
      <c r="A12" s="2">
        <v>45689</v>
      </c>
      <c r="B12" s="9">
        <v>45689</v>
      </c>
      <c r="C12" t="s">
        <v>8</v>
      </c>
      <c r="D12">
        <v>2712</v>
      </c>
      <c r="E12" s="10">
        <v>113.4336283185841</v>
      </c>
    </row>
    <row r="13" spans="1:5" x14ac:dyDescent="0.3">
      <c r="A13" s="2">
        <v>45717</v>
      </c>
      <c r="B13" s="9">
        <v>45717</v>
      </c>
      <c r="C13" t="s">
        <v>8</v>
      </c>
      <c r="D13">
        <v>0</v>
      </c>
      <c r="E13" s="10">
        <v>113.4336283185841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C40F-831E-49C3-A637-85C6A1F13897}">
  <dimension ref="A1:F13"/>
  <sheetViews>
    <sheetView workbookViewId="0">
      <selection activeCell="C13" sqref="C13"/>
    </sheetView>
  </sheetViews>
  <sheetFormatPr defaultRowHeight="14.4" x14ac:dyDescent="0.3"/>
  <cols>
    <col min="1" max="1" width="18" bestFit="1" customWidth="1"/>
    <col min="2" max="2" width="18" customWidth="1"/>
    <col min="3" max="3" width="16.33203125" bestFit="1" customWidth="1"/>
    <col min="5" max="5" width="9.44140625" bestFit="1" customWidth="1"/>
  </cols>
  <sheetData>
    <row r="1" spans="1:6" x14ac:dyDescent="0.3">
      <c r="A1" s="1" t="s">
        <v>0</v>
      </c>
      <c r="B1" s="8" t="s">
        <v>0</v>
      </c>
      <c r="C1" s="1" t="s">
        <v>1</v>
      </c>
      <c r="D1" s="1" t="s">
        <v>2</v>
      </c>
      <c r="E1" s="1" t="s">
        <v>3</v>
      </c>
      <c r="F1" s="13"/>
    </row>
    <row r="2" spans="1:6" x14ac:dyDescent="0.3">
      <c r="A2" s="2">
        <v>45383</v>
      </c>
      <c r="B2" s="15">
        <v>45383</v>
      </c>
      <c r="C2" t="s">
        <v>40</v>
      </c>
      <c r="D2">
        <v>6</v>
      </c>
      <c r="E2" s="10">
        <v>4812.7</v>
      </c>
    </row>
    <row r="3" spans="1:6" x14ac:dyDescent="0.3">
      <c r="A3" s="2">
        <v>45413</v>
      </c>
      <c r="B3" s="15">
        <v>45413</v>
      </c>
      <c r="C3" t="s">
        <v>40</v>
      </c>
      <c r="D3">
        <v>0</v>
      </c>
      <c r="E3" s="10">
        <v>4812.7</v>
      </c>
    </row>
    <row r="4" spans="1:6" x14ac:dyDescent="0.3">
      <c r="A4" s="2">
        <v>45444</v>
      </c>
      <c r="B4" s="15">
        <v>45444</v>
      </c>
      <c r="C4" t="s">
        <v>40</v>
      </c>
      <c r="D4">
        <v>10</v>
      </c>
      <c r="E4" s="10">
        <v>4812.7</v>
      </c>
    </row>
    <row r="5" spans="1:6" x14ac:dyDescent="0.3">
      <c r="A5" s="2">
        <v>45474</v>
      </c>
      <c r="B5" s="15">
        <v>45474</v>
      </c>
      <c r="C5" t="s">
        <v>40</v>
      </c>
      <c r="D5">
        <v>0</v>
      </c>
      <c r="E5" s="10">
        <v>4812.7</v>
      </c>
    </row>
    <row r="6" spans="1:6" x14ac:dyDescent="0.3">
      <c r="A6" s="2">
        <v>45505</v>
      </c>
      <c r="B6" s="15">
        <v>45505</v>
      </c>
      <c r="C6" t="s">
        <v>40</v>
      </c>
      <c r="D6">
        <v>10</v>
      </c>
      <c r="E6" s="10">
        <v>4455</v>
      </c>
    </row>
    <row r="7" spans="1:6" x14ac:dyDescent="0.3">
      <c r="A7" s="2">
        <v>45536</v>
      </c>
      <c r="B7" s="15">
        <v>45536</v>
      </c>
      <c r="C7" t="s">
        <v>40</v>
      </c>
      <c r="D7">
        <v>0</v>
      </c>
      <c r="E7" s="10">
        <v>4455</v>
      </c>
    </row>
    <row r="8" spans="1:6" x14ac:dyDescent="0.3">
      <c r="A8" s="2">
        <v>45566</v>
      </c>
      <c r="B8" s="15">
        <v>45566</v>
      </c>
      <c r="C8" t="s">
        <v>40</v>
      </c>
      <c r="D8">
        <v>0</v>
      </c>
      <c r="E8" s="10">
        <v>4455</v>
      </c>
    </row>
    <row r="9" spans="1:6" x14ac:dyDescent="0.3">
      <c r="A9" s="2">
        <v>45597</v>
      </c>
      <c r="B9" s="15">
        <v>45597</v>
      </c>
      <c r="C9" t="s">
        <v>40</v>
      </c>
      <c r="D9">
        <v>10</v>
      </c>
      <c r="E9" s="10">
        <v>3700</v>
      </c>
    </row>
    <row r="10" spans="1:6" x14ac:dyDescent="0.3">
      <c r="A10" s="2">
        <v>45627</v>
      </c>
      <c r="B10" s="15">
        <v>45627</v>
      </c>
      <c r="C10" t="s">
        <v>40</v>
      </c>
      <c r="D10">
        <v>0</v>
      </c>
      <c r="E10" s="10">
        <v>3700</v>
      </c>
    </row>
    <row r="11" spans="1:6" x14ac:dyDescent="0.3">
      <c r="A11" s="2">
        <v>45658</v>
      </c>
      <c r="B11" s="15">
        <v>45658</v>
      </c>
      <c r="C11" t="s">
        <v>40</v>
      </c>
      <c r="D11">
        <v>10</v>
      </c>
      <c r="E11" s="10">
        <v>3700</v>
      </c>
    </row>
    <row r="12" spans="1:6" x14ac:dyDescent="0.3">
      <c r="A12" s="2">
        <v>45689</v>
      </c>
      <c r="B12" s="15">
        <v>45689</v>
      </c>
      <c r="C12" t="s">
        <v>40</v>
      </c>
      <c r="D12">
        <v>0</v>
      </c>
      <c r="E12" s="10">
        <v>3700</v>
      </c>
    </row>
    <row r="13" spans="1:6" x14ac:dyDescent="0.3">
      <c r="A13" s="2">
        <v>45717</v>
      </c>
      <c r="B13" s="15">
        <v>45717</v>
      </c>
      <c r="C13" t="s">
        <v>40</v>
      </c>
      <c r="D13">
        <v>0</v>
      </c>
      <c r="E13" s="10">
        <v>3700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EA8D-3936-48A8-B0B5-E528EC097C45}">
  <dimension ref="A1:G5"/>
  <sheetViews>
    <sheetView workbookViewId="0">
      <selection activeCell="G22" sqref="G22"/>
    </sheetView>
  </sheetViews>
  <sheetFormatPr defaultColWidth="23.21875" defaultRowHeight="14.4" x14ac:dyDescent="0.3"/>
  <cols>
    <col min="1" max="1" width="19.109375" bestFit="1" customWidth="1"/>
    <col min="2" max="5" width="11.5546875" bestFit="1" customWidth="1"/>
    <col min="6" max="6" width="26.88671875" customWidth="1"/>
    <col min="7" max="7" width="17.33203125" bestFit="1" customWidth="1"/>
  </cols>
  <sheetData>
    <row r="1" spans="1:7" x14ac:dyDescent="0.3">
      <c r="A1" s="17" t="s">
        <v>1</v>
      </c>
      <c r="B1" s="17" t="s">
        <v>67</v>
      </c>
      <c r="C1" s="17" t="s">
        <v>72</v>
      </c>
      <c r="D1" s="17" t="s">
        <v>73</v>
      </c>
      <c r="E1" s="17" t="s">
        <v>69</v>
      </c>
      <c r="F1" s="17" t="s">
        <v>78</v>
      </c>
      <c r="G1" s="17" t="s">
        <v>79</v>
      </c>
    </row>
    <row r="2" spans="1:7" x14ac:dyDescent="0.3">
      <c r="A2" s="18" t="s">
        <v>14</v>
      </c>
      <c r="B2" s="18">
        <f>VLOOKUP($A2,Rate_Variability_Analysis!$A$2:$F$59,2,FALSE)</f>
        <v>133.13769429985399</v>
      </c>
      <c r="C2" s="18">
        <f>VLOOKUP($A2,Rate_Variability_Analysis!$A$2:$F$59,3,FALSE)</f>
        <v>254.47666666666669</v>
      </c>
      <c r="D2" s="18">
        <f>VLOOKUP($A2,Rate_Variability_Analysis!$A$2:$F$59,4,FALSE)</f>
        <v>100.8976923076923</v>
      </c>
      <c r="E2" s="19">
        <f>VLOOKUP($A2,Rate_Variability_Analysis!$A$2:$F$59,6,FALSE)</f>
        <v>0.42969199945704339</v>
      </c>
      <c r="F2" s="20" t="s">
        <v>82</v>
      </c>
      <c r="G2" s="21">
        <f>(B2-D2)/D2</f>
        <v>0.31953160924478113</v>
      </c>
    </row>
    <row r="3" spans="1:7" x14ac:dyDescent="0.3">
      <c r="A3" s="8" t="s">
        <v>8</v>
      </c>
      <c r="B3" s="18">
        <f>VLOOKUP($A3,Rate_Variability_Analysis!$A$2:$F$59,2,FALSE)</f>
        <v>108.78489246048424</v>
      </c>
      <c r="C3" s="18">
        <f>VLOOKUP($A3,Rate_Variability_Analysis!$A$2:$F$59,3,FALSE)</f>
        <v>135.14814814814821</v>
      </c>
      <c r="D3" s="18">
        <f>VLOOKUP($A3,Rate_Variability_Analysis!$A$2:$F$59,4,FALSE)</f>
        <v>84</v>
      </c>
      <c r="E3" s="19">
        <f>VLOOKUP($A3,Rate_Variability_Analysis!$A$2:$F$59,6,FALSE)</f>
        <v>0.19253555148746485</v>
      </c>
      <c r="F3" s="23" t="s">
        <v>81</v>
      </c>
      <c r="G3" s="21">
        <f>(B3-D3)/D3</f>
        <v>0.2950582435771934</v>
      </c>
    </row>
    <row r="4" spans="1:7" x14ac:dyDescent="0.3">
      <c r="A4" s="18" t="s">
        <v>56</v>
      </c>
      <c r="B4" s="18">
        <f>VLOOKUP($A4,Rate_Variability_Analysis!$A$2:$F$59,2,FALSE)</f>
        <v>27827.498333333333</v>
      </c>
      <c r="C4" s="18">
        <f>VLOOKUP($A4,Rate_Variability_Analysis!$A$2:$F$59,3,FALSE)</f>
        <v>33928.57</v>
      </c>
      <c r="D4" s="18">
        <f>VLOOKUP($A4,Rate_Variability_Analysis!$A$2:$F$59,4,FALSE)</f>
        <v>23215</v>
      </c>
      <c r="E4" s="19">
        <f>VLOOKUP($A4,Rate_Variability_Analysis!$A$2:$F$59,6,FALSE)</f>
        <v>0.13974001371414962</v>
      </c>
      <c r="F4" s="22" t="s">
        <v>80</v>
      </c>
      <c r="G4" s="21">
        <f>(B4-D4)/D4</f>
        <v>0.19868612247828271</v>
      </c>
    </row>
    <row r="5" spans="1:7" x14ac:dyDescent="0.3">
      <c r="A5" s="8" t="s">
        <v>40</v>
      </c>
      <c r="B5" s="18">
        <f>VLOOKUP($A5,Rate_Variability_Analysis!$A$2:$F$59,2,FALSE)</f>
        <v>4259.6500000000005</v>
      </c>
      <c r="C5" s="18">
        <f>VLOOKUP($A5,Rate_Variability_Analysis!$A$2:$F$59,3,FALSE)</f>
        <v>4812.7</v>
      </c>
      <c r="D5" s="18">
        <f>VLOOKUP($A5,Rate_Variability_Analysis!$A$2:$F$59,4,FALSE)</f>
        <v>3700</v>
      </c>
      <c r="E5" s="19">
        <f>VLOOKUP($A5,Rate_Variability_Analysis!$A$2:$F$59,6,FALSE)</f>
        <v>0.12062206326846356</v>
      </c>
      <c r="F5" s="20" t="s">
        <v>83</v>
      </c>
      <c r="G5" s="21">
        <f>(B5-D5)/D5</f>
        <v>0.1512567567567569</v>
      </c>
    </row>
  </sheetData>
  <sortState xmlns:xlrd2="http://schemas.microsoft.com/office/spreadsheetml/2017/richdata2" ref="A2:G5">
    <sortCondition descending="1" ref="G2:G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AV Items 202404-202503 Data</vt:lpstr>
      <vt:lpstr>AV Product Demand Type</vt:lpstr>
      <vt:lpstr>Pivot</vt:lpstr>
      <vt:lpstr>Rate_Variability_Analysis</vt:lpstr>
      <vt:lpstr>HI-TECH SYRINGE</vt:lpstr>
      <vt:lpstr>OXYGEN CONCENTRA</vt:lpstr>
      <vt:lpstr>EXAMINATION GLOV</vt:lpstr>
      <vt:lpstr>FLAM.WHEEL CHAIR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Dubey</dc:creator>
  <cp:lastModifiedBy>Pranjal Dubey</cp:lastModifiedBy>
  <dcterms:created xsi:type="dcterms:W3CDTF">2025-10-31T23:01:08Z</dcterms:created>
  <dcterms:modified xsi:type="dcterms:W3CDTF">2025-11-02T19:22:11Z</dcterms:modified>
</cp:coreProperties>
</file>